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ukin\Supermassa\Supermassa\massa1\VALERA\STATEIKI\Статьи 2022\Грант Карбон\2026\Статистика\Паспорта МО\ПМО Датасет\"/>
    </mc:Choice>
  </mc:AlternateContent>
  <xr:revisionPtr revIDLastSave="0" documentId="13_ncr:1_{F8501F15-3A11-4CAA-875B-A1E730F54E79}" xr6:coauthVersionLast="47" xr6:coauthVersionMax="47" xr10:uidLastSave="{00000000-0000-0000-0000-000000000000}"/>
  <bookViews>
    <workbookView xWindow="-108" yWindow="-108" windowWidth="23256" windowHeight="12456" tabRatio="741" xr2:uid="{63ECED3B-450E-4DF1-AF4F-195E611ACAD3}"/>
  </bookViews>
  <sheets>
    <sheet name="Оглавление" sheetId="1" r:id="rId1"/>
    <sheet name="1" sheetId="2" r:id="rId2"/>
    <sheet name="2" sheetId="3" r:id="rId3"/>
    <sheet name="3" sheetId="4" r:id="rId4"/>
    <sheet name="4" sheetId="7" r:id="rId5"/>
    <sheet name="5" sheetId="8" r:id="rId6"/>
    <sheet name="6" sheetId="9" r:id="rId7"/>
    <sheet name="7" sheetId="11" r:id="rId8"/>
    <sheet name="8" sheetId="10" r:id="rId9"/>
    <sheet name="9" sheetId="28" r:id="rId10"/>
    <sheet name="10" sheetId="12" r:id="rId11"/>
    <sheet name="11" sheetId="14" r:id="rId12"/>
    <sheet name="12" sheetId="15" r:id="rId13"/>
    <sheet name="13" sheetId="16" r:id="rId14"/>
    <sheet name="14" sheetId="18" r:id="rId15"/>
    <sheet name="15" sheetId="19" r:id="rId16"/>
    <sheet name="16" sheetId="20" r:id="rId17"/>
    <sheet name="17" sheetId="21" r:id="rId18"/>
    <sheet name="18" sheetId="22" r:id="rId19"/>
    <sheet name="19" sheetId="23" r:id="rId20"/>
    <sheet name="20" sheetId="24" r:id="rId21"/>
    <sheet name="21" sheetId="25" r:id="rId22"/>
    <sheet name="22" sheetId="26" r:id="rId23"/>
    <sheet name="23" sheetId="27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<sst xmlns="http://schemas.openxmlformats.org/spreadsheetml/2006/main" count="1160" uniqueCount="199">
  <si>
    <t>Платные услуги населению</t>
  </si>
  <si>
    <t>Розничная торговля и общественное питание</t>
  </si>
  <si>
    <t>Спорт</t>
  </si>
  <si>
    <t>Предприятия по переработке отходов</t>
  </si>
  <si>
    <t>Территория</t>
  </si>
  <si>
    <t>Сельское хозяйство</t>
  </si>
  <si>
    <t>Коммунальная сфера</t>
  </si>
  <si>
    <t>Инвестиции в основной капитал</t>
  </si>
  <si>
    <t>Социальная поддержка по оплате жилых помещений и коммунальных услуг</t>
  </si>
  <si>
    <t>Бухгалтерская отчетность</t>
  </si>
  <si>
    <t>Коллективные средства размещения</t>
  </si>
  <si>
    <t>Почтовая и телефонная связь</t>
  </si>
  <si>
    <t>Население</t>
  </si>
  <si>
    <t>Занятость и заработная плата</t>
  </si>
  <si>
    <t>Здравоохранение</t>
  </si>
  <si>
    <t>Образование</t>
  </si>
  <si>
    <t>Охрана окружающей среды</t>
  </si>
  <si>
    <t>Основные фонды организаций (без субъектов малого предпринимательства)</t>
  </si>
  <si>
    <t>Строительство жилья</t>
  </si>
  <si>
    <t>Деятельность предприятий</t>
  </si>
  <si>
    <t>Показатели для оценки эффективности деятельности органов местного самоуправления городских округов и муниципальных районов</t>
  </si>
  <si>
    <t>Финансовая деятельность</t>
  </si>
  <si>
    <t>Сведения о выданных разрешениях и уведомлениях на строительство и на ввод объектов в эксплуатацию</t>
  </si>
  <si>
    <t>Лист</t>
  </si>
  <si>
    <t>Таблица с данными</t>
  </si>
  <si>
    <t>Кол-во показателей</t>
  </si>
  <si>
    <t>Показатели, характеризующие состояние экономики и социальной сферы муниципального образования</t>
  </si>
  <si>
    <t>До 2025 г - Голышмановский городской округ</t>
  </si>
  <si>
    <t>Голышмановский муниципальный округ</t>
  </si>
  <si>
    <t>Показатели</t>
  </si>
  <si>
    <t>Всего по обследуемым видам экономической деятельности</t>
  </si>
  <si>
    <t>январь-март</t>
  </si>
  <si>
    <t>тысяча рублей</t>
  </si>
  <si>
    <t>январь-июнь</t>
  </si>
  <si>
    <t>январь-сентябрь</t>
  </si>
  <si>
    <t>январь-декабрь</t>
  </si>
  <si>
    <t>Торговля розничная, кроме торговли автотранспортными средствами и мотоциклами</t>
  </si>
  <si>
    <t>Торговля розничная в неспециализированных магазинах</t>
  </si>
  <si>
    <t>Торговля розничная пищевыми продуктами, напитками и табачными изделиями в специализированных магазинах</t>
  </si>
  <si>
    <t>Количество объектов розничной торговли и общественного питания</t>
  </si>
  <si>
    <t>магазины</t>
  </si>
  <si>
    <t>единица</t>
  </si>
  <si>
    <t>павильоны</t>
  </si>
  <si>
    <t>киоски</t>
  </si>
  <si>
    <t>аптечные организации</t>
  </si>
  <si>
    <t>общедоступные столовые, закусочные</t>
  </si>
  <si>
    <t>столовые учебных заведений, организаций, промышленных предприятий</t>
  </si>
  <si>
    <t>супермаркеты</t>
  </si>
  <si>
    <t>рестораны, кафе, бары</t>
  </si>
  <si>
    <t>минимаркеты</t>
  </si>
  <si>
    <t>универсальные и специализированные продовольственные</t>
  </si>
  <si>
    <t>универсальные и специализированные непродовольственные</t>
  </si>
  <si>
    <t>Число ярмарок</t>
  </si>
  <si>
    <t>Всего</t>
  </si>
  <si>
    <t>I квартал</t>
  </si>
  <si>
    <t>II квартал</t>
  </si>
  <si>
    <t>III квартал</t>
  </si>
  <si>
    <t>IV квартал</t>
  </si>
  <si>
    <t>Универсальная (без ярмарок выходного дня)</t>
  </si>
  <si>
    <t>Специализированная по продаже в основном продовольственных товаров</t>
  </si>
  <si>
    <t>Площадь торгового зала объектов розничной торговли</t>
  </si>
  <si>
    <t>метр квадратный</t>
  </si>
  <si>
    <t>Число торговых мест на ярмарках</t>
  </si>
  <si>
    <t>место</t>
  </si>
  <si>
    <t>Скот и птица (в живом весе)</t>
  </si>
  <si>
    <t>центнер</t>
  </si>
  <si>
    <t>-</t>
  </si>
  <si>
    <t>Зерно злаковых и бобовых культур</t>
  </si>
  <si>
    <t>Молоко от всех видов животных</t>
  </si>
  <si>
    <t>Пшеница</t>
  </si>
  <si>
    <t>Крупный рогатый скот</t>
  </si>
  <si>
    <t>Семена и плоды масличных культуры</t>
  </si>
  <si>
    <t>Посевные площади сельскохозяйственных культур в хозяйствах всех категорий</t>
  </si>
  <si>
    <t>Хозяйства всех категорий</t>
  </si>
  <si>
    <t>Вся посевная площадь</t>
  </si>
  <si>
    <t>гектар</t>
  </si>
  <si>
    <t>Зерновые и зернобобовые культуры - всего</t>
  </si>
  <si>
    <t>Пшеница яровая</t>
  </si>
  <si>
    <t>Ячмень яровой</t>
  </si>
  <si>
    <t>Овес</t>
  </si>
  <si>
    <t>Зернобобовые культуры - всего</t>
  </si>
  <si>
    <t>Горох</t>
  </si>
  <si>
    <t>Технические культуры - всего</t>
  </si>
  <si>
    <t>Лен-кудряш (масличный)</t>
  </si>
  <si>
    <t>Рапс яровой (кольза)</t>
  </si>
  <si>
    <t>Картофель</t>
  </si>
  <si>
    <t>Овощи (без высадков)</t>
  </si>
  <si>
    <t>Капуста всякая</t>
  </si>
  <si>
    <t>Огурцы</t>
  </si>
  <si>
    <t>Помидоры</t>
  </si>
  <si>
    <t>Свекла столовая</t>
  </si>
  <si>
    <t>Морковь столовая</t>
  </si>
  <si>
    <t>Лук репчатый</t>
  </si>
  <si>
    <t>Чеснок</t>
  </si>
  <si>
    <t>Горох овощной (зеленый горошек)</t>
  </si>
  <si>
    <t>Тыква</t>
  </si>
  <si>
    <t>Кабачки</t>
  </si>
  <si>
    <t>Кормовые культуры - всего</t>
  </si>
  <si>
    <t>Кукуруза на корм (силос, зеленый корм и сенаж)</t>
  </si>
  <si>
    <t>Однолетние травы</t>
  </si>
  <si>
    <t>Сельскохозяйственные организации (все сельхозорганизации)</t>
  </si>
  <si>
    <t>Хозяйства населения (граждане)</t>
  </si>
  <si>
    <t>Крестьянские (фермерские) хозяйства и индивидуальные предприниматели</t>
  </si>
  <si>
    <t>Валовые сборы сельскохозяйственных культур</t>
  </si>
  <si>
    <t>Лен-кудряш в весе после доработки</t>
  </si>
  <si>
    <t>Рапс яровой в весе после доработки</t>
  </si>
  <si>
    <t>Овощи - всего</t>
  </si>
  <si>
    <t>Однолетние травы на зеленый корм</t>
  </si>
  <si>
    <t>Многолетние травы - всего на сено</t>
  </si>
  <si>
    <t>Многолетние травы - всего на зеленый корм</t>
  </si>
  <si>
    <t>Многолетние беспокровные травы посева текущего года на зеленый корм</t>
  </si>
  <si>
    <t>Урожайность сельскохозяйственных культур (в расчете на убранную площадь)</t>
  </si>
  <si>
    <t>центнеров с гектара</t>
  </si>
  <si>
    <t>Посевные площади сельскохозяйственных культур (весеннего учета)</t>
  </si>
  <si>
    <t>Яровые зерновые и зернобобовые культуры</t>
  </si>
  <si>
    <t>Масличные культуры</t>
  </si>
  <si>
    <t>Овощи открытого грунта (включая закрытый грунт по хозяйствам населения)</t>
  </si>
  <si>
    <t>Внесено минеральных удобрений (в пересчете на 100% питательных веществ) под посевы сельскохозяйственных культур в сельскохозяйственных организациях</t>
  </si>
  <si>
    <t>Число семей, получавших субсидии на оплату жилого помещения и коммунальных услуг на конец отчетного периода</t>
  </si>
  <si>
    <t>Сумма начисленных субсидий населению на оплату жилого помещения и коммунальных услуг за отчетный период (2014, 2015 рубли)</t>
  </si>
  <si>
    <t>Численность граждан, пользующихся социальной поддержкой (льготами) по оплате жилого помещения и коммунальных услуг на конец отчетного периода</t>
  </si>
  <si>
    <t>Объем средств, предусмотренных на предоставление социальной поддержки по оплате жилого помещения и коммунальных услуг за отчетный период (2014, 2015 - рубли)</t>
  </si>
  <si>
    <t>Оценка численности городского и сельского населения на 1 января текущего года</t>
  </si>
  <si>
    <t>Все население</t>
  </si>
  <si>
    <t>на 1 января</t>
  </si>
  <si>
    <t>человек</t>
  </si>
  <si>
    <t>Сельское население</t>
  </si>
  <si>
    <t>Раздел А Сельское, лесное хозяйство, охота, рыболовство и рыбоводство</t>
  </si>
  <si>
    <t>Раздел D Обеспечение электрической энергией, газом и паром; кондиционирование воздуха</t>
  </si>
  <si>
    <t>Раздел G Торговля оптовая и розничная; ремонт автотранспортных средств и мотоциклов</t>
  </si>
  <si>
    <t>Раздел Н Транспортировка и хранение</t>
  </si>
  <si>
    <t>Раздел K Деятельность финансовая и страховая</t>
  </si>
  <si>
    <t>Раздел M Деятельность профессиональная, научная и техническая</t>
  </si>
  <si>
    <t>Раздел O Государственное управление и обеспечение военной безопасности; социальное обеспечение</t>
  </si>
  <si>
    <t>Раздел P Образование</t>
  </si>
  <si>
    <t>Раздел Q Деятельность в области здравоохранения и социальных услуг</t>
  </si>
  <si>
    <t>рубль</t>
  </si>
  <si>
    <t>Среднесписочная численность работников организаций муниципальной формы собственности (с 2017 года)</t>
  </si>
  <si>
    <t>Фонд заработной платы всех работников организаций муниципальной формы собственности (с 2017 года)</t>
  </si>
  <si>
    <t>Среднемесячная заработная плата работников организаций муниципальной формы собственности (с 2017 года)</t>
  </si>
  <si>
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 (с 2017 года)</t>
  </si>
  <si>
    <t>Раздел C Обрабатывающие производства</t>
  </si>
  <si>
    <t>Количество организаций по данным государственной регистрации</t>
  </si>
  <si>
    <t>на 1 апреля</t>
  </si>
  <si>
    <t>на 1 июля</t>
  </si>
  <si>
    <t>на 1 октября</t>
  </si>
  <si>
    <t>Количество индивидуальных предпринимателей по данным государственной регистрации</t>
  </si>
  <si>
    <t>Доля прибыльных сельскохозяйственных организаций в общем их числе</t>
  </si>
  <si>
    <t>Сельское хозяйство (без вспомогательной деятельности, оказания услуг)</t>
  </si>
  <si>
    <t>процент</t>
  </si>
  <si>
    <t>Прибыль (убыток) до налогообложения отчетного периода (с 2017 года)</t>
  </si>
  <si>
    <t>Прибыль (убыток) до налогообложения прошлого года (по уточненным данным) (с 2017 года)</t>
  </si>
  <si>
    <t>Дебиторская задолженность (с 2017 года)</t>
  </si>
  <si>
    <t>Задолженность покупателей и заказчиков за товары, работы и услуги из общей суммы дебиторской задолженности (с 2017 года)</t>
  </si>
  <si>
    <t>Кредиторская задолженность (с 2017 года)</t>
  </si>
  <si>
    <t>Задолженность по платежам в бюджет из общей суммы кредиторской задолженности (с 2017 года)</t>
  </si>
  <si>
    <t>Задолженность по взносам на обязательное социальное страхование, обязательное пенсионное обеспечение, обязательное медицинское страхование из общей суммы кредиторской задолженности крупных и средних предприятий и организаций</t>
  </si>
  <si>
    <t>Задолженность поставщикам и подрядчикам за товары, работы и услуги из общей суммы кредиторской задолженности (с 2017 года)</t>
  </si>
  <si>
    <t>Количество организаций представивших отчет (с 2017 года)</t>
  </si>
  <si>
    <t>Количество прибыльных организаций (с 2017 года)</t>
  </si>
  <si>
    <t>Финансовый результат прибыльных организаций (с 2017 года)</t>
  </si>
  <si>
    <t>Удельный вес убыточных организаций в общем числе организаций (с 2017 года)</t>
  </si>
  <si>
    <t>Растениеводство и животноводство, охота и предоставление соответствующих услуг в этих областях</t>
  </si>
  <si>
    <t>Удельный вес прибыльных организаций в общем числе организаций (с 2017 года)</t>
  </si>
  <si>
    <t>Раздел J Деятельность в области информации и связи</t>
  </si>
  <si>
    <t>Себестоимость проданных товаров, продукции, работ, услуг</t>
  </si>
  <si>
    <t>Коммерческие и управленческие расходы</t>
  </si>
  <si>
    <t>Прибыль (убыток) от продаж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</si>
  <si>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</t>
  </si>
  <si>
    <t>Внеоборотные активы</t>
  </si>
  <si>
    <t>Оборотные активы</t>
  </si>
  <si>
    <t>Запасы</t>
  </si>
  <si>
    <t>Денежные средства</t>
  </si>
  <si>
    <t>Ед, измерения</t>
  </si>
  <si>
    <t>Отгружено товаров собственного производства, выполнено работ и услуг собственными силами (без субъектов малого предпринимательства) (с 2017 г,)</t>
  </si>
  <si>
    <t>Продано товаров несобственного производства (без субъектов малого предпринимательства) (с 2017 г,)</t>
  </si>
  <si>
    <t>Среднесписочная численность работников организаций (без субъектов малого предпринимательства) с 2017 г,</t>
  </si>
  <si>
    <t>Фонд заработной платы всех работников организаций (без субъектов малого предпринимательства) с 2017 г,</t>
  </si>
  <si>
    <t>Среднемесячная заработная плата работников организаций (без субъектов малого предпринимательства) с 2017 г,</t>
  </si>
  <si>
    <t>Реализация продукции сельскохозяйственными организациями (с 20217 г,)</t>
  </si>
  <si>
    <t>01,09,1941</t>
  </si>
  <si>
    <t>01,04,1984</t>
  </si>
  <si>
    <t>01,10,2022</t>
  </si>
  <si>
    <t>01,02,1996</t>
  </si>
  <si>
    <t>05,05,2026</t>
  </si>
  <si>
    <t>01,07,1987</t>
  </si>
  <si>
    <t>01,02,1993</t>
  </si>
  <si>
    <t>01,02,1958</t>
  </si>
  <si>
    <t>04,03,2026</t>
  </si>
  <si>
    <t>30,05,2026</t>
  </si>
  <si>
    <t>01,12,2015</t>
  </si>
  <si>
    <t>01,11,2027</t>
  </si>
  <si>
    <t>01,05,1986</t>
  </si>
  <si>
    <t>25,02,2026</t>
  </si>
  <si>
    <t>05,11,2026</t>
  </si>
  <si>
    <t>03,03,2026</t>
  </si>
  <si>
    <t>Оборот розничной торговли (без субъектов малого предпринимательства) (с 2017 г,)</t>
  </si>
  <si>
    <t>Оборот общественного питания (без субъектов малого предпринимательства) (с 2017 г,)</t>
  </si>
  <si>
    <t>2023-2026 гг,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</si>
</sst>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\ _₽_-;_-@_-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left" vertical="center" wrapText="1" inden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 wrapText="1" indent="2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 applyFill="1" applyBorder="1" applyAlignment="1">
      <alignment vertical="top"/>
    </xf>
    <xf numFmtId="0" fontId="2" fillId="0" borderId="0" xfId="1" applyFont="1" applyBorder="1" applyAlignment="1">
      <alignment horizontal="left" vertical="top" wrapText="1"/>
    </xf>
    <xf numFmtId="164" fontId="0" fillId="0" borderId="0" xfId="0" applyNumberFormat="1" applyAlignment="1">
      <alignment vertical="top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 indent="2"/>
    </xf>
    <xf numFmtId="0" fontId="5" fillId="0" borderId="4" xfId="0" applyFont="1" applyBorder="1" applyAlignment="1">
      <alignment horizontal="center" vertical="center" wrapText="1"/>
    </xf>
    <xf numFmtId="17" fontId="5" fillId="0" borderId="4" xfId="0" applyNumberFormat="1" applyFont="1" applyBorder="1" applyAlignment="1">
      <alignment horizontal="center" vertical="center" wrapText="1"/>
    </xf>
    <xf numFmtId="16" fontId="5" fillId="0" borderId="4" xfId="0" applyNumberFormat="1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D5BF-330E-4E0B-A55E-17A876B89B60}">
  <dimension ref="A1:G26"/>
  <sheetViews>
    <sheetView tabSelected="1" topLeftCell="B1" workbookViewId="0">
      <selection activeCell="I17" sqref="I17"/>
    </sheetView>
  </sheetViews>
  <sheetFormatPr defaultRowHeight="14.4" x14ac:dyDescent="0.3"/>
  <cols>
    <col min="1" max="1" width="12" style="13" bestFit="1" customWidth="1"/>
    <col min="2" max="2" width="124.77734375" style="12" customWidth="1"/>
    <col min="3" max="3" width="11.77734375" style="12" bestFit="1" customWidth="1"/>
    <col min="4" max="7" width="8" style="12" customWidth="1"/>
    <col min="8" max="16384" width="8.88671875" style="12"/>
  </cols>
  <sheetData>
    <row r="1" spans="1:7" ht="23.4" x14ac:dyDescent="0.3">
      <c r="A1" s="10" t="s">
        <v>198</v>
      </c>
      <c r="B1" s="11" t="s">
        <v>28</v>
      </c>
      <c r="C1" s="12" t="s">
        <v>27</v>
      </c>
    </row>
    <row r="2" spans="1:7" x14ac:dyDescent="0.3">
      <c r="B2" s="14" t="s">
        <v>26</v>
      </c>
    </row>
    <row r="3" spans="1:7" ht="28.8" x14ac:dyDescent="0.3">
      <c r="A3" s="13" t="s">
        <v>23</v>
      </c>
      <c r="B3" s="15" t="s">
        <v>24</v>
      </c>
      <c r="C3" s="15" t="s">
        <v>25</v>
      </c>
      <c r="D3" s="12">
        <v>2023</v>
      </c>
      <c r="E3" s="12">
        <v>2024</v>
      </c>
      <c r="F3" s="12">
        <v>2025</v>
      </c>
      <c r="G3" s="16">
        <v>2026</v>
      </c>
    </row>
    <row r="4" spans="1:7" x14ac:dyDescent="0.3">
      <c r="A4" s="13">
        <v>1</v>
      </c>
      <c r="B4" s="17" t="s">
        <v>0</v>
      </c>
      <c r="C4" s="18">
        <f>COUNTA('1'!C$3:F$5000)</f>
        <v>0</v>
      </c>
      <c r="D4" s="18">
        <v>0</v>
      </c>
      <c r="E4" s="18">
        <v>0</v>
      </c>
      <c r="F4" s="18">
        <f>COUNTA('1'!C$3:C$5000)</f>
        <v>0</v>
      </c>
      <c r="G4" s="18">
        <f>COUNTA('1'!D$3:D$5000)</f>
        <v>0</v>
      </c>
    </row>
    <row r="5" spans="1:7" x14ac:dyDescent="0.3">
      <c r="A5" s="13">
        <v>2</v>
      </c>
      <c r="B5" s="17" t="s">
        <v>1</v>
      </c>
      <c r="C5" s="18">
        <f>COUNTA('2'!C$3:F$5000)</f>
        <v>55</v>
      </c>
      <c r="D5" s="18">
        <v>0</v>
      </c>
      <c r="E5" s="18">
        <v>0</v>
      </c>
      <c r="F5" s="18">
        <f>COUNTA('2'!C$3:C$5000)</f>
        <v>55</v>
      </c>
      <c r="G5" s="18">
        <f>COUNTA('2'!D$3:D$5000)</f>
        <v>0</v>
      </c>
    </row>
    <row r="6" spans="1:7" x14ac:dyDescent="0.3">
      <c r="A6" s="13">
        <v>3</v>
      </c>
      <c r="B6" s="17" t="s">
        <v>2</v>
      </c>
      <c r="C6" s="18">
        <f>COUNTA('3'!C$3:F$5000)</f>
        <v>0</v>
      </c>
      <c r="D6" s="18">
        <v>0</v>
      </c>
      <c r="E6" s="18">
        <v>0</v>
      </c>
      <c r="F6" s="18">
        <f>COUNTA('3'!C$3:C$5000)</f>
        <v>0</v>
      </c>
      <c r="G6" s="18">
        <f>COUNTA('3'!D$3:D$5000)</f>
        <v>0</v>
      </c>
    </row>
    <row r="7" spans="1:7" x14ac:dyDescent="0.3">
      <c r="A7" s="13">
        <v>4</v>
      </c>
      <c r="B7" s="17" t="s">
        <v>3</v>
      </c>
      <c r="C7" s="18">
        <f>COUNTA('4'!C$3:F$5000)</f>
        <v>0</v>
      </c>
      <c r="D7" s="18">
        <v>0</v>
      </c>
      <c r="E7" s="18">
        <v>0</v>
      </c>
      <c r="F7" s="18">
        <f>COUNTA('4'!C$3:C$5000)</f>
        <v>0</v>
      </c>
      <c r="G7" s="18">
        <f>COUNTA('4'!D$3:D$5000)</f>
        <v>0</v>
      </c>
    </row>
    <row r="8" spans="1:7" x14ac:dyDescent="0.3">
      <c r="A8" s="13">
        <v>5</v>
      </c>
      <c r="B8" s="17" t="s">
        <v>4</v>
      </c>
      <c r="C8" s="18">
        <f>COUNTA('5'!C$3:F$5000)</f>
        <v>0</v>
      </c>
      <c r="D8" s="18">
        <v>0</v>
      </c>
      <c r="E8" s="18">
        <v>0</v>
      </c>
      <c r="F8" s="18">
        <f>COUNTA('5'!C$3:C$5000)</f>
        <v>0</v>
      </c>
      <c r="G8" s="18">
        <f>COUNTA('5'!D$3:D$5000)</f>
        <v>0</v>
      </c>
    </row>
    <row r="9" spans="1:7" x14ac:dyDescent="0.3">
      <c r="A9" s="13">
        <v>6</v>
      </c>
      <c r="B9" s="17" t="s">
        <v>5</v>
      </c>
      <c r="C9" s="18">
        <f>COUNTA('6'!C$3:F$5000)</f>
        <v>200</v>
      </c>
      <c r="D9" s="18">
        <v>0</v>
      </c>
      <c r="E9" s="18">
        <v>0</v>
      </c>
      <c r="F9" s="18">
        <f>COUNTA('6'!C$3:C$5000)</f>
        <v>200</v>
      </c>
      <c r="G9" s="18">
        <f>COUNTA('6'!D$3:D$5000)</f>
        <v>0</v>
      </c>
    </row>
    <row r="10" spans="1:7" x14ac:dyDescent="0.3">
      <c r="A10" s="13">
        <v>7</v>
      </c>
      <c r="B10" s="17" t="s">
        <v>6</v>
      </c>
      <c r="C10" s="18">
        <f>COUNTA('7'!C$3:F$5000)</f>
        <v>0</v>
      </c>
      <c r="D10" s="18">
        <v>0</v>
      </c>
      <c r="E10" s="18">
        <v>0</v>
      </c>
      <c r="F10" s="18">
        <f>COUNTA('7'!C$3:C$5000)</f>
        <v>0</v>
      </c>
      <c r="G10" s="18">
        <f>COUNTA('7'!D$3:D$5000)</f>
        <v>0</v>
      </c>
    </row>
    <row r="11" spans="1:7" x14ac:dyDescent="0.3">
      <c r="A11" s="13">
        <v>8</v>
      </c>
      <c r="B11" s="17" t="s">
        <v>7</v>
      </c>
      <c r="C11" s="18">
        <f>COUNTA('8'!C$3:F$5000)</f>
        <v>0</v>
      </c>
      <c r="D11" s="18">
        <v>0</v>
      </c>
      <c r="E11" s="18">
        <v>0</v>
      </c>
      <c r="F11" s="18">
        <f>COUNTA('8'!C$3:C$5000)</f>
        <v>0</v>
      </c>
      <c r="G11" s="18">
        <f>COUNTA('8'!D$3:D$5000)</f>
        <v>0</v>
      </c>
    </row>
    <row r="12" spans="1:7" x14ac:dyDescent="0.3">
      <c r="A12" s="13">
        <v>9</v>
      </c>
      <c r="B12" s="17" t="s">
        <v>8</v>
      </c>
      <c r="C12" s="18">
        <f>COUNTA('9'!C$3:F$5000)</f>
        <v>4</v>
      </c>
      <c r="D12" s="18">
        <v>0</v>
      </c>
      <c r="E12" s="18">
        <v>0</v>
      </c>
      <c r="F12" s="18">
        <f>COUNTA('9'!C$3:C$5000)</f>
        <v>4</v>
      </c>
      <c r="G12" s="18">
        <f>COUNTA('9'!D$3:D$5000)</f>
        <v>0</v>
      </c>
    </row>
    <row r="13" spans="1:7" x14ac:dyDescent="0.3">
      <c r="A13" s="13">
        <v>10</v>
      </c>
      <c r="B13" s="17" t="s">
        <v>9</v>
      </c>
      <c r="C13" s="18">
        <f>COUNTA('10'!C$3:F$5000)</f>
        <v>0</v>
      </c>
      <c r="D13" s="18">
        <v>0</v>
      </c>
      <c r="E13" s="18">
        <v>0</v>
      </c>
      <c r="F13" s="18">
        <f>COUNTA('10'!C$3:C$5000)</f>
        <v>0</v>
      </c>
      <c r="G13" s="18">
        <f>COUNTA('10'!D$3:D$5000)</f>
        <v>0</v>
      </c>
    </row>
    <row r="14" spans="1:7" x14ac:dyDescent="0.3">
      <c r="A14" s="13">
        <v>11</v>
      </c>
      <c r="B14" s="17" t="s">
        <v>10</v>
      </c>
      <c r="C14" s="18">
        <f>COUNTA('11'!C$3:F$5000)</f>
        <v>0</v>
      </c>
      <c r="D14" s="18">
        <v>0</v>
      </c>
      <c r="E14" s="18">
        <v>0</v>
      </c>
      <c r="F14" s="18">
        <f>COUNTA('11'!C$3:C$5000)</f>
        <v>0</v>
      </c>
      <c r="G14" s="18">
        <f>COUNTA('11'!D$3:D$5000)</f>
        <v>0</v>
      </c>
    </row>
    <row r="15" spans="1:7" x14ac:dyDescent="0.3">
      <c r="A15" s="13">
        <v>12</v>
      </c>
      <c r="B15" s="17" t="s">
        <v>11</v>
      </c>
      <c r="C15" s="18">
        <f>COUNTA('12'!C$3:F$5000)</f>
        <v>0</v>
      </c>
      <c r="D15" s="18">
        <v>0</v>
      </c>
      <c r="E15" s="18">
        <v>0</v>
      </c>
      <c r="F15" s="18">
        <f>COUNTA('12'!C$3:C$5000)</f>
        <v>0</v>
      </c>
      <c r="G15" s="18">
        <f>COUNTA('12'!D$3:D$5000)</f>
        <v>0</v>
      </c>
    </row>
    <row r="16" spans="1:7" x14ac:dyDescent="0.3">
      <c r="A16" s="13">
        <v>13</v>
      </c>
      <c r="B16" s="17" t="s">
        <v>12</v>
      </c>
      <c r="C16" s="18">
        <f>COUNTA('13'!C$3:F$5000)</f>
        <v>2</v>
      </c>
      <c r="D16" s="18">
        <v>0</v>
      </c>
      <c r="E16" s="18">
        <v>0</v>
      </c>
      <c r="F16" s="18">
        <f>COUNTA('13'!C$3:C$5000)</f>
        <v>2</v>
      </c>
      <c r="G16" s="18">
        <f>COUNTA('13'!D$3:D$5000)</f>
        <v>0</v>
      </c>
    </row>
    <row r="17" spans="1:7" x14ac:dyDescent="0.3">
      <c r="A17" s="13">
        <v>14</v>
      </c>
      <c r="B17" s="17" t="s">
        <v>13</v>
      </c>
      <c r="C17" s="18">
        <f>COUNTA('14'!C$3:F$5000)</f>
        <v>129</v>
      </c>
      <c r="D17" s="18">
        <v>0</v>
      </c>
      <c r="E17" s="18">
        <v>0</v>
      </c>
      <c r="F17" s="18">
        <f>COUNTA('14'!C$3:C$5000)</f>
        <v>129</v>
      </c>
      <c r="G17" s="18">
        <f>COUNTA('14'!D$3:D$5000)</f>
        <v>0</v>
      </c>
    </row>
    <row r="18" spans="1:7" x14ac:dyDescent="0.3">
      <c r="A18" s="13">
        <v>15</v>
      </c>
      <c r="B18" s="17" t="s">
        <v>14</v>
      </c>
      <c r="C18" s="18">
        <f>COUNTA('15'!C$3:F$5000)</f>
        <v>0</v>
      </c>
      <c r="D18" s="18">
        <v>0</v>
      </c>
      <c r="E18" s="18">
        <v>0</v>
      </c>
      <c r="F18" s="18">
        <f>COUNTA('15'!C$3:C$5000)</f>
        <v>0</v>
      </c>
      <c r="G18" s="18">
        <f>COUNTA('15'!D$3:D$5000)</f>
        <v>0</v>
      </c>
    </row>
    <row r="19" spans="1:7" x14ac:dyDescent="0.3">
      <c r="A19" s="13">
        <v>16</v>
      </c>
      <c r="B19" s="17" t="s">
        <v>15</v>
      </c>
      <c r="C19" s="18">
        <f>COUNTA('16'!C$3:F$5000)</f>
        <v>0</v>
      </c>
      <c r="D19" s="18">
        <v>0</v>
      </c>
      <c r="E19" s="18">
        <v>0</v>
      </c>
      <c r="F19" s="18">
        <f>COUNTA('16'!C$3:C$5000)</f>
        <v>0</v>
      </c>
      <c r="G19" s="18">
        <f>COUNTA('16'!D$3:D$5000)</f>
        <v>0</v>
      </c>
    </row>
    <row r="20" spans="1:7" x14ac:dyDescent="0.3">
      <c r="A20" s="13">
        <v>17</v>
      </c>
      <c r="B20" s="17" t="s">
        <v>16</v>
      </c>
      <c r="C20" s="18">
        <f>COUNTA('17'!C$3:F$5000)</f>
        <v>0</v>
      </c>
      <c r="D20" s="18">
        <v>0</v>
      </c>
      <c r="E20" s="18">
        <v>0</v>
      </c>
      <c r="F20" s="18">
        <f>COUNTA('17'!C$3:C$5000)</f>
        <v>0</v>
      </c>
      <c r="G20" s="18">
        <f>COUNTA('17'!D$3:D$5000)</f>
        <v>0</v>
      </c>
    </row>
    <row r="21" spans="1:7" x14ac:dyDescent="0.3">
      <c r="A21" s="13">
        <v>18</v>
      </c>
      <c r="B21" s="17" t="s">
        <v>17</v>
      </c>
      <c r="C21" s="18">
        <f>COUNTA('18'!C$3:F$5000)</f>
        <v>0</v>
      </c>
      <c r="D21" s="18">
        <v>0</v>
      </c>
      <c r="E21" s="18">
        <v>0</v>
      </c>
      <c r="F21" s="18">
        <f>COUNTA('18'!C$3:C$5000)</f>
        <v>0</v>
      </c>
      <c r="G21" s="18">
        <f>COUNTA('18'!D$3:D$5000)</f>
        <v>0</v>
      </c>
    </row>
    <row r="22" spans="1:7" x14ac:dyDescent="0.3">
      <c r="A22" s="13">
        <v>19</v>
      </c>
      <c r="B22" s="17" t="s">
        <v>18</v>
      </c>
      <c r="C22" s="18">
        <f>COUNTA('19'!C$3:F$5000)</f>
        <v>0</v>
      </c>
      <c r="D22" s="18">
        <v>0</v>
      </c>
      <c r="E22" s="18">
        <v>0</v>
      </c>
      <c r="F22" s="18">
        <f>COUNTA('19'!C$3:C$5000)</f>
        <v>0</v>
      </c>
      <c r="G22" s="18">
        <f>COUNTA('19'!D$3:D$5000)</f>
        <v>0</v>
      </c>
    </row>
    <row r="23" spans="1:7" x14ac:dyDescent="0.3">
      <c r="A23" s="13">
        <v>20</v>
      </c>
      <c r="B23" s="17" t="s">
        <v>19</v>
      </c>
      <c r="C23" s="18">
        <f>COUNTA('20'!C$3:F$5000)</f>
        <v>38</v>
      </c>
      <c r="D23" s="18">
        <v>0</v>
      </c>
      <c r="E23" s="18">
        <v>0</v>
      </c>
      <c r="F23" s="18">
        <f>COUNTA('20'!C$3:C$5000)</f>
        <v>36</v>
      </c>
      <c r="G23" s="18">
        <f>COUNTA('20'!D$3:D$5000)</f>
        <v>2</v>
      </c>
    </row>
    <row r="24" spans="1:7" x14ac:dyDescent="0.3">
      <c r="A24" s="13">
        <v>21</v>
      </c>
      <c r="B24" s="17" t="s">
        <v>20</v>
      </c>
      <c r="C24" s="18">
        <f>COUNTA('21'!C$3:F$5000)</f>
        <v>1</v>
      </c>
      <c r="D24" s="18">
        <v>0</v>
      </c>
      <c r="E24" s="18">
        <v>0</v>
      </c>
      <c r="F24" s="18">
        <f>COUNTA('21'!C$3:C$5000)</f>
        <v>1</v>
      </c>
      <c r="G24" s="18">
        <f>COUNTA('21'!D$3:D$5000)</f>
        <v>0</v>
      </c>
    </row>
    <row r="25" spans="1:7" x14ac:dyDescent="0.3">
      <c r="A25" s="13">
        <v>22</v>
      </c>
      <c r="B25" s="17" t="s">
        <v>21</v>
      </c>
      <c r="C25" s="18">
        <f>COUNTA('22'!C$3:F$5000)</f>
        <v>30</v>
      </c>
      <c r="D25" s="18">
        <v>0</v>
      </c>
      <c r="E25" s="18">
        <v>0</v>
      </c>
      <c r="F25" s="18">
        <f>COUNTA('22'!C$3:C$5000)</f>
        <v>30</v>
      </c>
      <c r="G25" s="18">
        <f>COUNTA('22'!D$3:D$5000)</f>
        <v>0</v>
      </c>
    </row>
    <row r="26" spans="1:7" x14ac:dyDescent="0.3">
      <c r="A26" s="13">
        <v>23</v>
      </c>
      <c r="B26" s="17" t="s">
        <v>22</v>
      </c>
      <c r="C26" s="18">
        <f>COUNTA('23'!C$3:F$5000)</f>
        <v>0</v>
      </c>
      <c r="D26" s="18">
        <v>0</v>
      </c>
      <c r="E26" s="18">
        <v>0</v>
      </c>
      <c r="F26" s="18">
        <f>COUNTA('23'!C$3:C$5000)</f>
        <v>0</v>
      </c>
      <c r="G26" s="18">
        <f>COUNTA('23'!D$3:D$5000)</f>
        <v>0</v>
      </c>
    </row>
  </sheetData>
  <hyperlinks>
    <hyperlink ref="B4" location="'1'!A1" display="Платные услуги населению" xr:uid="{DA5005AC-5A58-4231-B6D4-8F3AC4BA1522}"/>
    <hyperlink ref="B5" location="'2'!A1" display="Розничная торговля и общественное питание" xr:uid="{CBF1D96B-AA87-416C-AB87-0121543119E2}"/>
    <hyperlink ref="B6" location="'3'!A1" display="Спорт" xr:uid="{EFDE1420-CAD6-4017-A02B-E986016E1ADD}"/>
    <hyperlink ref="B7" location="'4'!A1" display="Предприятия по переработке отходов" xr:uid="{F67CD241-B982-4E07-9BAD-F575BA0A52C9}"/>
    <hyperlink ref="B8" location="'5'!A1" display="Территория" xr:uid="{AC5988E0-67C2-43FF-A2B3-0F2E3AC904FF}"/>
    <hyperlink ref="B9" location="'6'!A1" display="Сельское хозяйство" xr:uid="{1E8B3CA2-8B5B-434B-95FC-8CED24B98001}"/>
    <hyperlink ref="B10" location="'7'!A1" display="Коммунальная сфера" xr:uid="{F903A419-4081-4DEA-93CF-9B0CCD531CF5}"/>
    <hyperlink ref="B11" location="'8'!A1" display="Инвестиции в основной капитал" xr:uid="{FFCEF5F5-9BCD-4CD5-A56B-F9286407D84D}"/>
    <hyperlink ref="B12" location="'9'!A1" display="Социальная поддержка по оплате жилых помещений и коммунальных услуг" xr:uid="{DE70D5DF-27DE-4083-BDB4-09F62D4EA456}"/>
    <hyperlink ref="B13" location="'10'!A1" display="Бухгалтерская отчетность" xr:uid="{CBDE9808-C52A-44FD-B210-A620E28C26D6}"/>
    <hyperlink ref="B14" location="'11'!A1" display="Коллективные средства размещения" xr:uid="{C2F90B61-E061-4A3B-9D6F-72B63B9032E9}"/>
    <hyperlink ref="B15" location="'12'!A1" display="Почтовая и телефонная связь" xr:uid="{2C332DB4-B653-4EE8-B4C2-CBCE20735D60}"/>
    <hyperlink ref="B16" location="'13'!A1" display="Население" xr:uid="{1D097005-A429-4058-99D7-A3F68497F82F}"/>
    <hyperlink ref="B17" location="'14'!A1" display="Занятость и заработная плата" xr:uid="{E84CB3F4-D2DD-46AC-B2F7-BE93B6C4C108}"/>
    <hyperlink ref="B18" location="'15'!A1" display="Здравоохранение" xr:uid="{2AC73809-43BC-4FF4-A536-8A929F4EB744}"/>
    <hyperlink ref="B19" location="'16'!A1" display="Образование" xr:uid="{F42C436C-6037-4789-A470-0DE9EC605024}"/>
    <hyperlink ref="B20" location="'17'!A1" display="Охрана окружающей среды" xr:uid="{A878582B-3197-43D6-B4D0-A525067983D2}"/>
    <hyperlink ref="B21" location="'18'!A1" display="Основные фонды организаций (без субъектов малого предпринимательства)" xr:uid="{D6EE088E-689C-4417-BF8D-B5BD80B47212}"/>
    <hyperlink ref="B22" location="'19'!A1" display="Строительство жилья" xr:uid="{0B1C4F12-CE6F-476D-AD9C-F43E8F5E014B}"/>
    <hyperlink ref="B23" location="'20'!A1" display="Деятельность предприятий" xr:uid="{E4ED2F0B-2B7D-4E79-A96E-EE45FA147AE9}"/>
    <hyperlink ref="B24" location="'21'!A1" display="Показатели для оценки эффективности деятельности органов местного самоуправления городских округов и муниципальных районов" xr:uid="{181A2BC1-1EC2-4F53-95D1-D60C32C4D0D3}"/>
    <hyperlink ref="B25" location="'22'!A1" display="Финансовая деятельность" xr:uid="{D8A8258E-912A-44C0-BCB7-0BF75AD80E7E}"/>
    <hyperlink ref="B26" location="'23'!A1" display="Сведения о выданных разрешениях и уведомлениях на строительство и на ввод объектов в эксплуатацию" xr:uid="{5D4E6C8A-43CE-4F8C-A356-E75A25CAAE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EC8E-26FF-422D-8029-99CB7D966AE0}">
  <dimension ref="A1"/>
  <sheetViews>
    <sheetView workbookViewId="0">
      <selection activeCell="F17" sqref="F17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1" x14ac:dyDescent="0.3">
      <c r="A1" s="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96FE-C056-48B4-904D-7F4948CD3D7F}">
  <dimension ref="A1:F140"/>
  <sheetViews>
    <sheetView workbookViewId="0">
      <selection activeCell="F17" sqref="F17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4" ht="15" thickBot="1" x14ac:dyDescent="0.35">
      <c r="A1" s="7" t="s">
        <v>1</v>
      </c>
    </row>
    <row r="2" spans="1:4" ht="16.2" thickBot="1" x14ac:dyDescent="0.35">
      <c r="A2" s="19" t="s">
        <v>29</v>
      </c>
      <c r="B2" s="20" t="s">
        <v>173</v>
      </c>
      <c r="C2" s="20">
        <v>2025</v>
      </c>
      <c r="D2" s="20">
        <v>2026</v>
      </c>
    </row>
    <row r="3" spans="1:4" ht="16.2" thickBot="1" x14ac:dyDescent="0.35">
      <c r="A3" s="21" t="s">
        <v>196</v>
      </c>
      <c r="B3" s="22"/>
      <c r="C3" s="22"/>
      <c r="D3" s="22"/>
    </row>
    <row r="4" spans="1:4" ht="16.2" thickBot="1" x14ac:dyDescent="0.35">
      <c r="A4" s="23" t="s">
        <v>30</v>
      </c>
      <c r="B4" s="22"/>
      <c r="C4" s="22"/>
      <c r="D4" s="22"/>
    </row>
    <row r="5" spans="1:4" ht="16.2" thickBot="1" x14ac:dyDescent="0.35">
      <c r="A5" s="24" t="s">
        <v>31</v>
      </c>
      <c r="B5" s="25" t="s">
        <v>32</v>
      </c>
      <c r="C5" s="25">
        <v>614938.1</v>
      </c>
      <c r="D5" s="22"/>
    </row>
    <row r="6" spans="1:4" ht="16.2" thickBot="1" x14ac:dyDescent="0.35">
      <c r="A6" s="24" t="s">
        <v>33</v>
      </c>
      <c r="B6" s="25" t="s">
        <v>32</v>
      </c>
      <c r="C6" s="25">
        <v>1311511.3999999999</v>
      </c>
      <c r="D6" s="22"/>
    </row>
    <row r="7" spans="1:4" ht="16.2" thickBot="1" x14ac:dyDescent="0.35">
      <c r="A7" s="24" t="s">
        <v>34</v>
      </c>
      <c r="B7" s="25" t="s">
        <v>32</v>
      </c>
      <c r="C7" s="25">
        <v>2050626</v>
      </c>
      <c r="D7" s="22"/>
    </row>
    <row r="8" spans="1:4" ht="16.2" thickBot="1" x14ac:dyDescent="0.35">
      <c r="A8" s="24" t="s">
        <v>35</v>
      </c>
      <c r="B8" s="25" t="s">
        <v>32</v>
      </c>
      <c r="C8" s="25">
        <v>2856568.7</v>
      </c>
      <c r="D8" s="22"/>
    </row>
    <row r="9" spans="1:4" ht="16.2" thickBot="1" x14ac:dyDescent="0.35">
      <c r="A9" s="23" t="s">
        <v>36</v>
      </c>
      <c r="B9" s="22"/>
      <c r="C9" s="22"/>
      <c r="D9" s="22"/>
    </row>
    <row r="10" spans="1:4" ht="16.2" thickBot="1" x14ac:dyDescent="0.35">
      <c r="A10" s="24" t="s">
        <v>31</v>
      </c>
      <c r="B10" s="25" t="s">
        <v>32</v>
      </c>
      <c r="C10" s="25">
        <v>601423.5</v>
      </c>
      <c r="D10" s="22"/>
    </row>
    <row r="11" spans="1:4" ht="16.2" thickBot="1" x14ac:dyDescent="0.35">
      <c r="A11" s="24" t="s">
        <v>33</v>
      </c>
      <c r="B11" s="25" t="s">
        <v>32</v>
      </c>
      <c r="C11" s="25">
        <v>1286207</v>
      </c>
      <c r="D11" s="22"/>
    </row>
    <row r="12" spans="1:4" ht="16.2" thickBot="1" x14ac:dyDescent="0.35">
      <c r="A12" s="24" t="s">
        <v>34</v>
      </c>
      <c r="B12" s="25" t="s">
        <v>32</v>
      </c>
      <c r="C12" s="25">
        <v>2005959.9</v>
      </c>
      <c r="D12" s="22"/>
    </row>
    <row r="13" spans="1:4" ht="16.2" thickBot="1" x14ac:dyDescent="0.35">
      <c r="A13" s="24" t="s">
        <v>35</v>
      </c>
      <c r="B13" s="25" t="s">
        <v>32</v>
      </c>
      <c r="C13" s="25">
        <v>2756604.6</v>
      </c>
      <c r="D13" s="22"/>
    </row>
    <row r="14" spans="1:4" ht="16.2" thickBot="1" x14ac:dyDescent="0.35">
      <c r="A14" s="23" t="s">
        <v>37</v>
      </c>
      <c r="B14" s="22"/>
      <c r="C14" s="22"/>
      <c r="D14" s="22"/>
    </row>
    <row r="15" spans="1:4" ht="16.2" thickBot="1" x14ac:dyDescent="0.35">
      <c r="A15" s="24" t="s">
        <v>31</v>
      </c>
      <c r="B15" s="25" t="s">
        <v>32</v>
      </c>
      <c r="C15" s="25">
        <v>413398.6</v>
      </c>
      <c r="D15" s="22"/>
    </row>
    <row r="16" spans="1:4" ht="16.2" thickBot="1" x14ac:dyDescent="0.35">
      <c r="A16" s="24" t="s">
        <v>33</v>
      </c>
      <c r="B16" s="25" t="s">
        <v>32</v>
      </c>
      <c r="C16" s="25">
        <v>875865.59999999998</v>
      </c>
      <c r="D16" s="22"/>
    </row>
    <row r="17" spans="1:4" ht="16.2" thickBot="1" x14ac:dyDescent="0.35">
      <c r="A17" s="24" t="s">
        <v>34</v>
      </c>
      <c r="B17" s="25" t="s">
        <v>32</v>
      </c>
      <c r="C17" s="25">
        <v>1321273.5</v>
      </c>
      <c r="D17" s="22"/>
    </row>
    <row r="18" spans="1:4" ht="16.2" thickBot="1" x14ac:dyDescent="0.35">
      <c r="A18" s="24" t="s">
        <v>35</v>
      </c>
      <c r="B18" s="25" t="s">
        <v>32</v>
      </c>
      <c r="C18" s="25">
        <v>1789975.4</v>
      </c>
      <c r="D18" s="22"/>
    </row>
    <row r="19" spans="1:4" ht="31.8" thickBot="1" x14ac:dyDescent="0.35">
      <c r="A19" s="23" t="s">
        <v>38</v>
      </c>
      <c r="B19" s="22"/>
      <c r="C19" s="22"/>
      <c r="D19" s="22"/>
    </row>
    <row r="20" spans="1:4" ht="16.2" thickBot="1" x14ac:dyDescent="0.35">
      <c r="A20" s="24" t="s">
        <v>31</v>
      </c>
      <c r="B20" s="25" t="s">
        <v>32</v>
      </c>
      <c r="C20" s="25">
        <v>83263</v>
      </c>
      <c r="D20" s="22"/>
    </row>
    <row r="21" spans="1:4" ht="16.2" thickBot="1" x14ac:dyDescent="0.35">
      <c r="A21" s="24" t="s">
        <v>33</v>
      </c>
      <c r="B21" s="25" t="s">
        <v>32</v>
      </c>
      <c r="C21" s="25">
        <v>185393</v>
      </c>
      <c r="D21" s="22"/>
    </row>
    <row r="22" spans="1:4" ht="16.2" thickBot="1" x14ac:dyDescent="0.35">
      <c r="A22" s="24" t="s">
        <v>34</v>
      </c>
      <c r="B22" s="25" t="s">
        <v>32</v>
      </c>
      <c r="C22" s="25">
        <v>292554</v>
      </c>
      <c r="D22" s="22"/>
    </row>
    <row r="23" spans="1:4" ht="16.2" thickBot="1" x14ac:dyDescent="0.35">
      <c r="A23" s="24" t="s">
        <v>35</v>
      </c>
      <c r="B23" s="25" t="s">
        <v>32</v>
      </c>
      <c r="C23" s="25">
        <v>400167</v>
      </c>
      <c r="D23" s="22"/>
    </row>
    <row r="24" spans="1:4" ht="16.2" thickBot="1" x14ac:dyDescent="0.35">
      <c r="A24" s="21" t="s">
        <v>197</v>
      </c>
      <c r="B24" s="22"/>
      <c r="C24" s="22"/>
      <c r="D24" s="22"/>
    </row>
    <row r="25" spans="1:4" ht="16.2" thickBot="1" x14ac:dyDescent="0.35">
      <c r="A25" s="23" t="s">
        <v>30</v>
      </c>
      <c r="B25" s="22"/>
      <c r="C25" s="22"/>
      <c r="D25" s="22"/>
    </row>
    <row r="26" spans="1:4" ht="16.2" thickBot="1" x14ac:dyDescent="0.35">
      <c r="A26" s="24" t="s">
        <v>31</v>
      </c>
      <c r="B26" s="25" t="s">
        <v>32</v>
      </c>
      <c r="C26" s="25">
        <v>2120</v>
      </c>
      <c r="D26" s="22"/>
    </row>
    <row r="27" spans="1:4" ht="16.2" thickBot="1" x14ac:dyDescent="0.35">
      <c r="A27" s="24" t="s">
        <v>33</v>
      </c>
      <c r="B27" s="25" t="s">
        <v>32</v>
      </c>
      <c r="C27" s="25">
        <v>5730</v>
      </c>
      <c r="D27" s="22"/>
    </row>
    <row r="28" spans="1:4" ht="16.2" thickBot="1" x14ac:dyDescent="0.35">
      <c r="A28" s="21" t="s">
        <v>39</v>
      </c>
      <c r="B28" s="22"/>
      <c r="C28" s="22"/>
      <c r="D28" s="22"/>
    </row>
    <row r="29" spans="1:4" ht="16.2" thickBot="1" x14ac:dyDescent="0.35">
      <c r="A29" s="23" t="s">
        <v>40</v>
      </c>
      <c r="B29" s="25" t="s">
        <v>41</v>
      </c>
      <c r="C29" s="25">
        <v>184</v>
      </c>
      <c r="D29" s="22"/>
    </row>
    <row r="30" spans="1:4" ht="16.2" thickBot="1" x14ac:dyDescent="0.35">
      <c r="A30" s="23" t="s">
        <v>42</v>
      </c>
      <c r="B30" s="25" t="s">
        <v>41</v>
      </c>
      <c r="C30" s="25">
        <v>7</v>
      </c>
      <c r="D30" s="22"/>
    </row>
    <row r="31" spans="1:4" ht="16.2" thickBot="1" x14ac:dyDescent="0.35">
      <c r="A31" s="23" t="s">
        <v>43</v>
      </c>
      <c r="B31" s="25" t="s">
        <v>41</v>
      </c>
      <c r="C31" s="25">
        <v>6</v>
      </c>
      <c r="D31" s="22"/>
    </row>
    <row r="32" spans="1:4" ht="16.2" thickBot="1" x14ac:dyDescent="0.35">
      <c r="A32" s="23" t="s">
        <v>44</v>
      </c>
      <c r="B32" s="25" t="s">
        <v>41</v>
      </c>
      <c r="C32" s="25">
        <v>11</v>
      </c>
      <c r="D32" s="22"/>
    </row>
    <row r="33" spans="1:4" ht="16.2" thickBot="1" x14ac:dyDescent="0.35">
      <c r="A33" s="23" t="s">
        <v>45</v>
      </c>
      <c r="B33" s="25" t="s">
        <v>41</v>
      </c>
      <c r="C33" s="25">
        <v>2</v>
      </c>
      <c r="D33" s="22"/>
    </row>
    <row r="34" spans="1:4" ht="16.2" thickBot="1" x14ac:dyDescent="0.35">
      <c r="A34" s="23" t="s">
        <v>46</v>
      </c>
      <c r="B34" s="25" t="s">
        <v>41</v>
      </c>
      <c r="C34" s="25">
        <v>22</v>
      </c>
      <c r="D34" s="22"/>
    </row>
    <row r="35" spans="1:4" ht="16.2" thickBot="1" x14ac:dyDescent="0.35">
      <c r="A35" s="23" t="s">
        <v>47</v>
      </c>
      <c r="B35" s="25" t="s">
        <v>41</v>
      </c>
      <c r="C35" s="25">
        <v>11</v>
      </c>
      <c r="D35" s="22"/>
    </row>
    <row r="36" spans="1:4" ht="16.2" thickBot="1" x14ac:dyDescent="0.35">
      <c r="A36" s="23" t="s">
        <v>48</v>
      </c>
      <c r="B36" s="25" t="s">
        <v>41</v>
      </c>
      <c r="C36" s="25">
        <v>10</v>
      </c>
      <c r="D36" s="22"/>
    </row>
    <row r="37" spans="1:4" ht="16.2" thickBot="1" x14ac:dyDescent="0.35">
      <c r="A37" s="23" t="s">
        <v>49</v>
      </c>
      <c r="B37" s="25" t="s">
        <v>41</v>
      </c>
      <c r="C37" s="25">
        <v>126</v>
      </c>
      <c r="D37" s="22"/>
    </row>
    <row r="38" spans="1:4" ht="16.2" thickBot="1" x14ac:dyDescent="0.35">
      <c r="A38" s="23" t="s">
        <v>50</v>
      </c>
      <c r="B38" s="25" t="s">
        <v>41</v>
      </c>
      <c r="C38" s="25">
        <v>5</v>
      </c>
      <c r="D38" s="22"/>
    </row>
    <row r="39" spans="1:4" ht="16.2" thickBot="1" x14ac:dyDescent="0.35">
      <c r="A39" s="23" t="s">
        <v>51</v>
      </c>
      <c r="B39" s="25" t="s">
        <v>41</v>
      </c>
      <c r="C39" s="25">
        <v>42</v>
      </c>
      <c r="D39" s="22"/>
    </row>
    <row r="40" spans="1:4" ht="16.2" thickBot="1" x14ac:dyDescent="0.35">
      <c r="A40" s="21" t="s">
        <v>52</v>
      </c>
      <c r="B40" s="22"/>
      <c r="C40" s="22"/>
      <c r="D40" s="22"/>
    </row>
    <row r="41" spans="1:4" ht="16.2" thickBot="1" x14ac:dyDescent="0.35">
      <c r="A41" s="23" t="s">
        <v>53</v>
      </c>
      <c r="B41" s="22"/>
      <c r="C41" s="22"/>
      <c r="D41" s="22"/>
    </row>
    <row r="42" spans="1:4" ht="16.2" thickBot="1" x14ac:dyDescent="0.35">
      <c r="A42" s="24" t="s">
        <v>54</v>
      </c>
      <c r="B42" s="25" t="s">
        <v>41</v>
      </c>
      <c r="C42" s="25">
        <v>1</v>
      </c>
      <c r="D42" s="22"/>
    </row>
    <row r="43" spans="1:4" ht="16.2" thickBot="1" x14ac:dyDescent="0.35">
      <c r="A43" s="24" t="s">
        <v>55</v>
      </c>
      <c r="B43" s="25" t="s">
        <v>41</v>
      </c>
      <c r="C43" s="25">
        <v>1</v>
      </c>
      <c r="D43" s="22"/>
    </row>
    <row r="44" spans="1:4" ht="16.2" thickBot="1" x14ac:dyDescent="0.35">
      <c r="A44" s="24" t="s">
        <v>56</v>
      </c>
      <c r="B44" s="25" t="s">
        <v>41</v>
      </c>
      <c r="C44" s="25">
        <v>2</v>
      </c>
      <c r="D44" s="22"/>
    </row>
    <row r="45" spans="1:4" ht="16.2" thickBot="1" x14ac:dyDescent="0.35">
      <c r="A45" s="24" t="s">
        <v>57</v>
      </c>
      <c r="B45" s="25" t="s">
        <v>41</v>
      </c>
      <c r="C45" s="25">
        <v>2</v>
      </c>
      <c r="D45" s="22"/>
    </row>
    <row r="46" spans="1:4" ht="16.2" thickBot="1" x14ac:dyDescent="0.35">
      <c r="A46" s="23" t="s">
        <v>58</v>
      </c>
      <c r="B46" s="22"/>
      <c r="C46" s="22"/>
      <c r="D46" s="22"/>
    </row>
    <row r="47" spans="1:4" ht="16.2" thickBot="1" x14ac:dyDescent="0.35">
      <c r="A47" s="24" t="s">
        <v>54</v>
      </c>
      <c r="B47" s="25" t="s">
        <v>41</v>
      </c>
      <c r="C47" s="25">
        <v>1</v>
      </c>
      <c r="D47" s="22"/>
    </row>
    <row r="48" spans="1:4" ht="16.2" thickBot="1" x14ac:dyDescent="0.35">
      <c r="A48" s="24" t="s">
        <v>55</v>
      </c>
      <c r="B48" s="25" t="s">
        <v>41</v>
      </c>
      <c r="C48" s="25">
        <v>1</v>
      </c>
      <c r="D48" s="22"/>
    </row>
    <row r="49" spans="1:4" ht="16.2" thickBot="1" x14ac:dyDescent="0.35">
      <c r="A49" s="24" t="s">
        <v>56</v>
      </c>
      <c r="B49" s="25" t="s">
        <v>41</v>
      </c>
      <c r="C49" s="25">
        <v>1</v>
      </c>
      <c r="D49" s="22"/>
    </row>
    <row r="50" spans="1:4" ht="16.2" thickBot="1" x14ac:dyDescent="0.35">
      <c r="A50" s="24" t="s">
        <v>57</v>
      </c>
      <c r="B50" s="25" t="s">
        <v>41</v>
      </c>
      <c r="C50" s="25">
        <v>1</v>
      </c>
      <c r="D50" s="22"/>
    </row>
    <row r="51" spans="1:4" ht="16.2" thickBot="1" x14ac:dyDescent="0.35">
      <c r="A51" s="23" t="s">
        <v>59</v>
      </c>
      <c r="B51" s="22"/>
      <c r="C51" s="22"/>
      <c r="D51" s="22"/>
    </row>
    <row r="52" spans="1:4" ht="16.2" thickBot="1" x14ac:dyDescent="0.35">
      <c r="A52" s="24" t="s">
        <v>56</v>
      </c>
      <c r="B52" s="25" t="s">
        <v>41</v>
      </c>
      <c r="C52" s="25">
        <v>1</v>
      </c>
      <c r="D52" s="22"/>
    </row>
    <row r="53" spans="1:4" ht="16.2" thickBot="1" x14ac:dyDescent="0.35">
      <c r="A53" s="24" t="s">
        <v>57</v>
      </c>
      <c r="B53" s="25" t="s">
        <v>41</v>
      </c>
      <c r="C53" s="25">
        <v>1</v>
      </c>
      <c r="D53" s="22"/>
    </row>
    <row r="54" spans="1:4" ht="16.2" thickBot="1" x14ac:dyDescent="0.35">
      <c r="A54" s="21" t="s">
        <v>60</v>
      </c>
      <c r="B54" s="22"/>
      <c r="C54" s="22"/>
      <c r="D54" s="22"/>
    </row>
    <row r="55" spans="1:4" ht="16.2" thickBot="1" x14ac:dyDescent="0.35">
      <c r="A55" s="23" t="s">
        <v>40</v>
      </c>
      <c r="B55" s="25" t="s">
        <v>61</v>
      </c>
      <c r="C55" s="25">
        <v>20468.2</v>
      </c>
      <c r="D55" s="22"/>
    </row>
    <row r="56" spans="1:4" ht="16.2" thickBot="1" x14ac:dyDescent="0.35">
      <c r="A56" s="23" t="s">
        <v>42</v>
      </c>
      <c r="B56" s="25" t="s">
        <v>61</v>
      </c>
      <c r="C56" s="25">
        <v>152.30000000000001</v>
      </c>
      <c r="D56" s="22"/>
    </row>
    <row r="57" spans="1:4" ht="16.2" thickBot="1" x14ac:dyDescent="0.35">
      <c r="A57" s="23" t="s">
        <v>47</v>
      </c>
      <c r="B57" s="25" t="s">
        <v>61</v>
      </c>
      <c r="C57" s="25">
        <v>5751</v>
      </c>
      <c r="D57" s="22"/>
    </row>
    <row r="58" spans="1:4" ht="16.2" thickBot="1" x14ac:dyDescent="0.35">
      <c r="A58" s="23" t="s">
        <v>49</v>
      </c>
      <c r="B58" s="25" t="s">
        <v>61</v>
      </c>
      <c r="C58" s="25">
        <v>11066</v>
      </c>
      <c r="D58" s="22"/>
    </row>
    <row r="59" spans="1:4" ht="16.2" thickBot="1" x14ac:dyDescent="0.35">
      <c r="A59" s="23" t="s">
        <v>50</v>
      </c>
      <c r="B59" s="25" t="s">
        <v>61</v>
      </c>
      <c r="C59" s="25">
        <v>242</v>
      </c>
      <c r="D59" s="22"/>
    </row>
    <row r="60" spans="1:4" ht="16.2" thickBot="1" x14ac:dyDescent="0.35">
      <c r="A60" s="23" t="s">
        <v>51</v>
      </c>
      <c r="B60" s="25" t="s">
        <v>61</v>
      </c>
      <c r="C60" s="25">
        <v>3409.2</v>
      </c>
      <c r="D60" s="22"/>
    </row>
    <row r="61" spans="1:4" ht="16.2" thickBot="1" x14ac:dyDescent="0.35">
      <c r="A61" s="21" t="s">
        <v>62</v>
      </c>
      <c r="B61" s="22"/>
      <c r="C61" s="22"/>
      <c r="D61" s="22"/>
    </row>
    <row r="62" spans="1:4" ht="16.2" thickBot="1" x14ac:dyDescent="0.35">
      <c r="A62" s="23" t="s">
        <v>53</v>
      </c>
      <c r="B62" s="22"/>
      <c r="C62" s="22"/>
      <c r="D62" s="22"/>
    </row>
    <row r="63" spans="1:4" ht="16.2" thickBot="1" x14ac:dyDescent="0.35">
      <c r="A63" s="24" t="s">
        <v>54</v>
      </c>
      <c r="B63" s="25" t="s">
        <v>63</v>
      </c>
      <c r="C63" s="25">
        <v>19</v>
      </c>
      <c r="D63" s="22"/>
    </row>
    <row r="64" spans="1:4" ht="16.2" thickBot="1" x14ac:dyDescent="0.35">
      <c r="A64" s="24" t="s">
        <v>55</v>
      </c>
      <c r="B64" s="25" t="s">
        <v>63</v>
      </c>
      <c r="C64" s="25">
        <v>22</v>
      </c>
      <c r="D64" s="22"/>
    </row>
    <row r="65" spans="1:4" ht="16.2" thickBot="1" x14ac:dyDescent="0.35">
      <c r="A65" s="24" t="s">
        <v>56</v>
      </c>
      <c r="B65" s="25" t="s">
        <v>63</v>
      </c>
      <c r="C65" s="25">
        <v>34</v>
      </c>
      <c r="D65" s="22"/>
    </row>
    <row r="66" spans="1:4" ht="16.2" thickBot="1" x14ac:dyDescent="0.35">
      <c r="A66" s="24" t="s">
        <v>57</v>
      </c>
      <c r="B66" s="25" t="s">
        <v>63</v>
      </c>
      <c r="C66" s="25">
        <v>17</v>
      </c>
      <c r="D66" s="22"/>
    </row>
    <row r="67" spans="1:4" ht="16.2" thickBot="1" x14ac:dyDescent="0.35">
      <c r="A67" s="23" t="s">
        <v>58</v>
      </c>
      <c r="B67" s="22"/>
      <c r="C67" s="22"/>
      <c r="D67" s="22"/>
    </row>
    <row r="68" spans="1:4" ht="16.2" thickBot="1" x14ac:dyDescent="0.35">
      <c r="A68" s="24" t="s">
        <v>54</v>
      </c>
      <c r="B68" s="25" t="s">
        <v>63</v>
      </c>
      <c r="C68" s="25">
        <v>19</v>
      </c>
      <c r="D68" s="22"/>
    </row>
    <row r="69" spans="1:4" ht="16.2" thickBot="1" x14ac:dyDescent="0.35">
      <c r="A69" s="24" t="s">
        <v>55</v>
      </c>
      <c r="B69" s="25" t="s">
        <v>63</v>
      </c>
      <c r="C69" s="25">
        <v>22</v>
      </c>
      <c r="D69" s="22"/>
    </row>
    <row r="70" spans="1:4" ht="16.2" thickBot="1" x14ac:dyDescent="0.35">
      <c r="A70" s="24" t="s">
        <v>56</v>
      </c>
      <c r="B70" s="25" t="s">
        <v>63</v>
      </c>
      <c r="C70" s="25">
        <v>30</v>
      </c>
      <c r="D70" s="22"/>
    </row>
    <row r="71" spans="1:4" ht="16.2" thickBot="1" x14ac:dyDescent="0.35">
      <c r="A71" s="24" t="s">
        <v>57</v>
      </c>
      <c r="B71" s="25" t="s">
        <v>63</v>
      </c>
      <c r="C71" s="25">
        <v>2</v>
      </c>
      <c r="D71" s="22"/>
    </row>
    <row r="72" spans="1:4" ht="16.2" thickBot="1" x14ac:dyDescent="0.35">
      <c r="A72" s="23" t="s">
        <v>59</v>
      </c>
      <c r="B72" s="22"/>
      <c r="C72" s="22"/>
      <c r="D72" s="22"/>
    </row>
    <row r="73" spans="1:4" ht="16.2" thickBot="1" x14ac:dyDescent="0.35">
      <c r="A73" s="24" t="s">
        <v>56</v>
      </c>
      <c r="B73" s="25" t="s">
        <v>63</v>
      </c>
      <c r="C73" s="25">
        <v>4</v>
      </c>
      <c r="D73" s="22"/>
    </row>
    <row r="74" spans="1:4" ht="16.2" thickBot="1" x14ac:dyDescent="0.35">
      <c r="A74" s="24" t="s">
        <v>57</v>
      </c>
      <c r="B74" s="25" t="s">
        <v>63</v>
      </c>
      <c r="C74" s="25">
        <v>15</v>
      </c>
      <c r="D74" s="22"/>
    </row>
    <row r="118" spans="1:6" x14ac:dyDescent="0.3">
      <c r="A118" s="8"/>
      <c r="B118" s="5"/>
      <c r="C118" s="5"/>
      <c r="D118" s="3"/>
      <c r="E118" s="3"/>
      <c r="F118" s="3"/>
    </row>
    <row r="119" spans="1:6" x14ac:dyDescent="0.3">
      <c r="A119" s="4"/>
      <c r="B119" s="5"/>
      <c r="C119" s="3"/>
      <c r="D119" s="5"/>
      <c r="E119" s="3"/>
      <c r="F119" s="3"/>
    </row>
    <row r="120" spans="1:6" x14ac:dyDescent="0.3">
      <c r="A120" s="8"/>
      <c r="B120" s="5"/>
      <c r="C120" s="5"/>
      <c r="D120" s="3"/>
      <c r="E120" s="3"/>
      <c r="F120" s="3"/>
    </row>
    <row r="121" spans="1:6" x14ac:dyDescent="0.3">
      <c r="A121" s="3"/>
      <c r="B121" s="3"/>
      <c r="C121" s="3"/>
      <c r="D121" s="3"/>
      <c r="E121" s="3"/>
      <c r="F121" s="3"/>
    </row>
    <row r="122" spans="1:6" x14ac:dyDescent="0.3">
      <c r="A122" s="4"/>
      <c r="B122" s="5"/>
      <c r="C122" s="3"/>
      <c r="D122" s="5"/>
      <c r="E122" s="3"/>
      <c r="F122" s="3"/>
    </row>
    <row r="123" spans="1:6" x14ac:dyDescent="0.3">
      <c r="A123" s="8"/>
      <c r="B123" s="5"/>
      <c r="C123" s="5"/>
      <c r="D123" s="3"/>
      <c r="E123" s="3"/>
      <c r="F123" s="3"/>
    </row>
    <row r="124" spans="1:6" x14ac:dyDescent="0.3">
      <c r="A124" s="4"/>
      <c r="B124" s="5"/>
      <c r="C124" s="3"/>
      <c r="D124" s="5"/>
      <c r="E124" s="3"/>
      <c r="F124" s="3"/>
    </row>
    <row r="125" spans="1:6" x14ac:dyDescent="0.3">
      <c r="A125" s="8"/>
      <c r="B125" s="5"/>
      <c r="C125" s="5"/>
      <c r="D125" s="3"/>
      <c r="E125" s="3"/>
      <c r="F125" s="3"/>
    </row>
    <row r="126" spans="1:6" x14ac:dyDescent="0.3">
      <c r="A126" s="4"/>
      <c r="B126" s="5"/>
      <c r="C126" s="3"/>
      <c r="D126" s="5"/>
      <c r="E126" s="3"/>
      <c r="F126" s="3"/>
    </row>
    <row r="127" spans="1:6" x14ac:dyDescent="0.3">
      <c r="A127" s="8"/>
      <c r="B127" s="5"/>
      <c r="C127" s="5"/>
      <c r="D127" s="3"/>
      <c r="E127" s="3"/>
      <c r="F127" s="3"/>
    </row>
    <row r="128" spans="1:6" x14ac:dyDescent="0.3">
      <c r="A128" s="3"/>
      <c r="B128" s="3"/>
      <c r="C128" s="3"/>
      <c r="D128" s="3"/>
      <c r="E128" s="3"/>
      <c r="F128" s="3"/>
    </row>
    <row r="129" spans="1:6" x14ac:dyDescent="0.3">
      <c r="A129" s="4"/>
      <c r="B129" s="3"/>
      <c r="C129" s="3"/>
      <c r="D129" s="3"/>
      <c r="E129" s="3"/>
      <c r="F129" s="3"/>
    </row>
    <row r="130" spans="1:6" x14ac:dyDescent="0.3">
      <c r="A130" s="8"/>
      <c r="B130" s="5"/>
      <c r="C130" s="5"/>
      <c r="D130" s="5"/>
      <c r="E130" s="5"/>
      <c r="F130" s="3"/>
    </row>
    <row r="131" spans="1:6" x14ac:dyDescent="0.3">
      <c r="A131" s="8"/>
      <c r="B131" s="5"/>
      <c r="C131" s="5"/>
      <c r="D131" s="5"/>
      <c r="E131" s="5"/>
      <c r="F131" s="3"/>
    </row>
    <row r="132" spans="1:6" x14ac:dyDescent="0.3">
      <c r="A132" s="8"/>
      <c r="B132" s="5"/>
      <c r="C132" s="5"/>
      <c r="D132" s="5"/>
      <c r="E132" s="5"/>
      <c r="F132" s="3"/>
    </row>
    <row r="133" spans="1:6" x14ac:dyDescent="0.3">
      <c r="A133" s="8"/>
      <c r="B133" s="5"/>
      <c r="C133" s="5"/>
      <c r="D133" s="5"/>
      <c r="E133" s="5"/>
      <c r="F133" s="3"/>
    </row>
    <row r="134" spans="1:6" x14ac:dyDescent="0.3">
      <c r="A134" s="4"/>
      <c r="B134" s="3"/>
      <c r="C134" s="3"/>
      <c r="D134" s="3"/>
      <c r="E134" s="3"/>
      <c r="F134" s="3"/>
    </row>
    <row r="135" spans="1:6" x14ac:dyDescent="0.3">
      <c r="A135" s="8"/>
      <c r="B135" s="5"/>
      <c r="C135" s="5"/>
      <c r="D135" s="5"/>
      <c r="E135" s="5"/>
      <c r="F135" s="3"/>
    </row>
    <row r="136" spans="1:6" x14ac:dyDescent="0.3">
      <c r="A136" s="8"/>
      <c r="B136" s="5"/>
      <c r="C136" s="5"/>
      <c r="D136" s="5"/>
      <c r="E136" s="5"/>
      <c r="F136" s="3"/>
    </row>
    <row r="137" spans="1:6" x14ac:dyDescent="0.3">
      <c r="A137" s="8"/>
      <c r="B137" s="5"/>
      <c r="C137" s="5"/>
      <c r="D137" s="5"/>
      <c r="E137" s="5"/>
      <c r="F137" s="3"/>
    </row>
    <row r="138" spans="1:6" x14ac:dyDescent="0.3">
      <c r="A138" s="8"/>
      <c r="B138" s="5"/>
      <c r="C138" s="5"/>
      <c r="D138" s="5"/>
      <c r="E138" s="5"/>
      <c r="F138" s="3"/>
    </row>
    <row r="139" spans="1:6" x14ac:dyDescent="0.3">
      <c r="A139" s="4"/>
      <c r="B139" s="3"/>
      <c r="C139" s="3"/>
      <c r="D139" s="3"/>
      <c r="E139" s="3"/>
      <c r="F139" s="3"/>
    </row>
    <row r="140" spans="1:6" x14ac:dyDescent="0.3">
      <c r="A140" s="8"/>
      <c r="B140" s="5"/>
      <c r="C140" s="5"/>
      <c r="D140" s="5"/>
      <c r="E140" s="5"/>
      <c r="F14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1B69-CE07-4990-8415-66CC297DCE8E}">
  <dimension ref="A1"/>
  <sheetViews>
    <sheetView workbookViewId="0">
      <selection activeCell="F17" sqref="F17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1" x14ac:dyDescent="0.3">
      <c r="A1" s="7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BB7F-D03B-4746-B34B-3464EE9B06F7}">
  <dimension ref="A1:F6"/>
  <sheetViews>
    <sheetView workbookViewId="0">
      <selection activeCell="F17" sqref="F17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x14ac:dyDescent="0.3">
      <c r="A1" s="7" t="s">
        <v>3</v>
      </c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3"/>
      <c r="B3" s="5"/>
      <c r="C3" s="5"/>
      <c r="D3" s="5"/>
      <c r="E3" s="3"/>
      <c r="F3" s="3"/>
    </row>
    <row r="4" spans="1:6" x14ac:dyDescent="0.3">
      <c r="A4" s="3"/>
      <c r="B4" s="5"/>
      <c r="C4" s="5"/>
      <c r="D4" s="5"/>
      <c r="E4" s="3"/>
      <c r="F4" s="3"/>
    </row>
    <row r="5" spans="1:6" x14ac:dyDescent="0.3">
      <c r="A5" s="3"/>
      <c r="B5" s="5"/>
      <c r="C5" s="5"/>
      <c r="D5" s="5"/>
      <c r="E5" s="3"/>
      <c r="F5" s="3"/>
    </row>
    <row r="6" spans="1:6" x14ac:dyDescent="0.3">
      <c r="A6" s="3"/>
      <c r="B6" s="5"/>
      <c r="C6" s="5"/>
      <c r="D6" s="5"/>
      <c r="E6" s="3"/>
      <c r="F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4A28-FA15-46BD-91F4-F4A6B6312853}">
  <dimension ref="A1"/>
  <sheetViews>
    <sheetView workbookViewId="0">
      <selection activeCell="F17" sqref="F17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1" x14ac:dyDescent="0.3">
      <c r="A1" s="7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9138-02F1-4C9B-94B3-C51A5FA1AE75}">
  <dimension ref="A1:D229"/>
  <sheetViews>
    <sheetView workbookViewId="0">
      <selection activeCell="F17" sqref="F17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4" ht="15" thickBot="1" x14ac:dyDescent="0.35">
      <c r="A1" s="7" t="s">
        <v>5</v>
      </c>
    </row>
    <row r="2" spans="1:4" ht="16.2" thickBot="1" x14ac:dyDescent="0.35">
      <c r="A2" s="19" t="s">
        <v>29</v>
      </c>
      <c r="B2" s="20" t="s">
        <v>173</v>
      </c>
      <c r="C2" s="20">
        <v>2025</v>
      </c>
      <c r="D2" s="20">
        <v>2026</v>
      </c>
    </row>
    <row r="3" spans="1:4" ht="16.2" thickBot="1" x14ac:dyDescent="0.35">
      <c r="A3" s="21" t="s">
        <v>179</v>
      </c>
      <c r="B3" s="22"/>
      <c r="C3" s="22"/>
      <c r="D3" s="22"/>
    </row>
    <row r="4" spans="1:4" ht="16.2" thickBot="1" x14ac:dyDescent="0.35">
      <c r="A4" s="23" t="s">
        <v>64</v>
      </c>
      <c r="B4" s="22"/>
      <c r="C4" s="22"/>
      <c r="D4" s="22"/>
    </row>
    <row r="5" spans="1:4" ht="16.2" thickBot="1" x14ac:dyDescent="0.35">
      <c r="A5" s="24" t="s">
        <v>65</v>
      </c>
      <c r="B5" s="25" t="s">
        <v>66</v>
      </c>
      <c r="C5" s="25">
        <v>20373.599999999999</v>
      </c>
      <c r="D5" s="22"/>
    </row>
    <row r="6" spans="1:4" ht="16.2" thickBot="1" x14ac:dyDescent="0.35">
      <c r="A6" s="23" t="s">
        <v>67</v>
      </c>
      <c r="B6" s="22"/>
      <c r="C6" s="22"/>
      <c r="D6" s="22"/>
    </row>
    <row r="7" spans="1:4" ht="16.2" thickBot="1" x14ac:dyDescent="0.35">
      <c r="A7" s="24" t="s">
        <v>65</v>
      </c>
      <c r="B7" s="25" t="s">
        <v>66</v>
      </c>
      <c r="C7" s="25">
        <v>942381.39</v>
      </c>
      <c r="D7" s="22"/>
    </row>
    <row r="8" spans="1:4" ht="16.2" thickBot="1" x14ac:dyDescent="0.35">
      <c r="A8" s="23" t="s">
        <v>68</v>
      </c>
      <c r="B8" s="22"/>
      <c r="C8" s="22"/>
      <c r="D8" s="22"/>
    </row>
    <row r="9" spans="1:4" ht="16.2" thickBot="1" x14ac:dyDescent="0.35">
      <c r="A9" s="24" t="s">
        <v>65</v>
      </c>
      <c r="B9" s="25" t="s">
        <v>66</v>
      </c>
      <c r="C9" s="25">
        <v>704511.23</v>
      </c>
      <c r="D9" s="22"/>
    </row>
    <row r="10" spans="1:4" ht="16.2" thickBot="1" x14ac:dyDescent="0.35">
      <c r="A10" s="23" t="s">
        <v>69</v>
      </c>
      <c r="B10" s="22"/>
      <c r="C10" s="22"/>
      <c r="D10" s="22"/>
    </row>
    <row r="11" spans="1:4" ht="16.2" thickBot="1" x14ac:dyDescent="0.35">
      <c r="A11" s="24" t="s">
        <v>65</v>
      </c>
      <c r="B11" s="25" t="s">
        <v>66</v>
      </c>
      <c r="C11" s="25">
        <v>649124.55000000005</v>
      </c>
      <c r="D11" s="22"/>
    </row>
    <row r="12" spans="1:4" ht="16.2" thickBot="1" x14ac:dyDescent="0.35">
      <c r="A12" s="23" t="s">
        <v>70</v>
      </c>
      <c r="B12" s="22"/>
      <c r="C12" s="22"/>
      <c r="D12" s="22"/>
    </row>
    <row r="13" spans="1:4" ht="16.2" thickBot="1" x14ac:dyDescent="0.35">
      <c r="A13" s="24" t="s">
        <v>65</v>
      </c>
      <c r="B13" s="25" t="s">
        <v>66</v>
      </c>
      <c r="C13" s="25">
        <v>20353.599999999999</v>
      </c>
      <c r="D13" s="22"/>
    </row>
    <row r="14" spans="1:4" ht="16.2" thickBot="1" x14ac:dyDescent="0.35">
      <c r="A14" s="23" t="s">
        <v>71</v>
      </c>
      <c r="B14" s="22"/>
      <c r="C14" s="22"/>
      <c r="D14" s="22"/>
    </row>
    <row r="15" spans="1:4" ht="16.2" thickBot="1" x14ac:dyDescent="0.35">
      <c r="A15" s="24" t="s">
        <v>65</v>
      </c>
      <c r="B15" s="25" t="s">
        <v>66</v>
      </c>
      <c r="C15" s="25">
        <v>2209.2800000000002</v>
      </c>
      <c r="D15" s="22"/>
    </row>
    <row r="16" spans="1:4" ht="16.2" thickBot="1" x14ac:dyDescent="0.35">
      <c r="A16" s="21" t="s">
        <v>72</v>
      </c>
      <c r="B16" s="22"/>
      <c r="C16" s="22"/>
      <c r="D16" s="22"/>
    </row>
    <row r="17" spans="1:4" ht="16.2" thickBot="1" x14ac:dyDescent="0.35">
      <c r="A17" s="23" t="s">
        <v>73</v>
      </c>
      <c r="B17" s="22"/>
      <c r="C17" s="22"/>
      <c r="D17" s="22"/>
    </row>
    <row r="18" spans="1:4" ht="16.2" thickBot="1" x14ac:dyDescent="0.35">
      <c r="A18" s="24" t="s">
        <v>74</v>
      </c>
      <c r="B18" s="25" t="s">
        <v>75</v>
      </c>
      <c r="C18" s="25">
        <v>74518.61</v>
      </c>
      <c r="D18" s="22"/>
    </row>
    <row r="19" spans="1:4" ht="16.2" thickBot="1" x14ac:dyDescent="0.35">
      <c r="A19" s="24" t="s">
        <v>76</v>
      </c>
      <c r="B19" s="25" t="s">
        <v>75</v>
      </c>
      <c r="C19" s="25">
        <v>52178.45</v>
      </c>
      <c r="D19" s="22"/>
    </row>
    <row r="20" spans="1:4" ht="16.2" thickBot="1" x14ac:dyDescent="0.35">
      <c r="A20" s="24" t="s">
        <v>77</v>
      </c>
      <c r="B20" s="25" t="s">
        <v>75</v>
      </c>
      <c r="C20" s="25">
        <v>35675.5</v>
      </c>
      <c r="D20" s="22"/>
    </row>
    <row r="21" spans="1:4" ht="16.2" thickBot="1" x14ac:dyDescent="0.35">
      <c r="A21" s="24" t="s">
        <v>78</v>
      </c>
      <c r="B21" s="25" t="s">
        <v>75</v>
      </c>
      <c r="C21" s="25">
        <v>1996</v>
      </c>
      <c r="D21" s="22"/>
    </row>
    <row r="22" spans="1:4" ht="16.2" thickBot="1" x14ac:dyDescent="0.35">
      <c r="A22" s="24" t="s">
        <v>79</v>
      </c>
      <c r="B22" s="25" t="s">
        <v>75</v>
      </c>
      <c r="C22" s="25">
        <v>9335.35</v>
      </c>
      <c r="D22" s="22"/>
    </row>
    <row r="23" spans="1:4" ht="16.2" thickBot="1" x14ac:dyDescent="0.35">
      <c r="A23" s="24" t="s">
        <v>80</v>
      </c>
      <c r="B23" s="25" t="s">
        <v>75</v>
      </c>
      <c r="C23" s="25">
        <v>5171.6000000000004</v>
      </c>
      <c r="D23" s="22"/>
    </row>
    <row r="24" spans="1:4" ht="16.2" thickBot="1" x14ac:dyDescent="0.35">
      <c r="A24" s="24" t="s">
        <v>81</v>
      </c>
      <c r="B24" s="25" t="s">
        <v>75</v>
      </c>
      <c r="C24" s="25">
        <v>5171.6000000000004</v>
      </c>
      <c r="D24" s="22"/>
    </row>
    <row r="25" spans="1:4" ht="16.2" thickBot="1" x14ac:dyDescent="0.35">
      <c r="A25" s="24" t="s">
        <v>82</v>
      </c>
      <c r="B25" s="25" t="s">
        <v>75</v>
      </c>
      <c r="C25" s="25">
        <v>3025</v>
      </c>
      <c r="D25" s="22"/>
    </row>
    <row r="26" spans="1:4" ht="16.2" thickBot="1" x14ac:dyDescent="0.35">
      <c r="A26" s="24" t="s">
        <v>83</v>
      </c>
      <c r="B26" s="25" t="s">
        <v>75</v>
      </c>
      <c r="C26" s="25">
        <v>1859</v>
      </c>
      <c r="D26" s="22"/>
    </row>
    <row r="27" spans="1:4" ht="16.2" thickBot="1" x14ac:dyDescent="0.35">
      <c r="A27" s="24" t="s">
        <v>84</v>
      </c>
      <c r="B27" s="25" t="s">
        <v>75</v>
      </c>
      <c r="C27" s="25">
        <v>1166</v>
      </c>
      <c r="D27" s="22"/>
    </row>
    <row r="28" spans="1:4" ht="16.2" thickBot="1" x14ac:dyDescent="0.35">
      <c r="A28" s="24" t="s">
        <v>85</v>
      </c>
      <c r="B28" s="25" t="s">
        <v>75</v>
      </c>
      <c r="C28" s="25">
        <v>441.8</v>
      </c>
      <c r="D28" s="22"/>
    </row>
    <row r="29" spans="1:4" ht="16.2" thickBot="1" x14ac:dyDescent="0.35">
      <c r="A29" s="24" t="s">
        <v>86</v>
      </c>
      <c r="B29" s="25" t="s">
        <v>75</v>
      </c>
      <c r="C29" s="25">
        <v>52.36</v>
      </c>
      <c r="D29" s="22"/>
    </row>
    <row r="30" spans="1:4" ht="16.2" thickBot="1" x14ac:dyDescent="0.35">
      <c r="A30" s="24" t="s">
        <v>87</v>
      </c>
      <c r="B30" s="25" t="s">
        <v>75</v>
      </c>
      <c r="C30" s="26" t="s">
        <v>180</v>
      </c>
      <c r="D30" s="22"/>
    </row>
    <row r="31" spans="1:4" ht="16.2" thickBot="1" x14ac:dyDescent="0.35">
      <c r="A31" s="24" t="s">
        <v>88</v>
      </c>
      <c r="B31" s="25" t="s">
        <v>75</v>
      </c>
      <c r="C31" s="26" t="s">
        <v>181</v>
      </c>
      <c r="D31" s="22"/>
    </row>
    <row r="32" spans="1:4" ht="16.2" thickBot="1" x14ac:dyDescent="0.35">
      <c r="A32" s="24" t="s">
        <v>89</v>
      </c>
      <c r="B32" s="25" t="s">
        <v>75</v>
      </c>
      <c r="C32" s="26" t="s">
        <v>182</v>
      </c>
      <c r="D32" s="22"/>
    </row>
    <row r="33" spans="1:4" ht="16.2" thickBot="1" x14ac:dyDescent="0.35">
      <c r="A33" s="24" t="s">
        <v>90</v>
      </c>
      <c r="B33" s="25" t="s">
        <v>75</v>
      </c>
      <c r="C33" s="26" t="s">
        <v>183</v>
      </c>
      <c r="D33" s="22"/>
    </row>
    <row r="34" spans="1:4" ht="16.2" thickBot="1" x14ac:dyDescent="0.35">
      <c r="A34" s="24" t="s">
        <v>91</v>
      </c>
      <c r="B34" s="25" t="s">
        <v>75</v>
      </c>
      <c r="C34" s="27" t="s">
        <v>184</v>
      </c>
      <c r="D34" s="22"/>
    </row>
    <row r="35" spans="1:4" ht="16.2" thickBot="1" x14ac:dyDescent="0.35">
      <c r="A35" s="24" t="s">
        <v>92</v>
      </c>
      <c r="B35" s="25" t="s">
        <v>75</v>
      </c>
      <c r="C35" s="26" t="s">
        <v>185</v>
      </c>
      <c r="D35" s="22"/>
    </row>
    <row r="36" spans="1:4" ht="16.2" thickBot="1" x14ac:dyDescent="0.35">
      <c r="A36" s="24" t="s">
        <v>93</v>
      </c>
      <c r="B36" s="25" t="s">
        <v>75</v>
      </c>
      <c r="C36" s="26" t="s">
        <v>186</v>
      </c>
      <c r="D36" s="22"/>
    </row>
    <row r="37" spans="1:4" ht="16.2" thickBot="1" x14ac:dyDescent="0.35">
      <c r="A37" s="24" t="s">
        <v>94</v>
      </c>
      <c r="B37" s="25" t="s">
        <v>75</v>
      </c>
      <c r="C37" s="25">
        <v>0.42</v>
      </c>
      <c r="D37" s="22"/>
    </row>
    <row r="38" spans="1:4" ht="16.2" thickBot="1" x14ac:dyDescent="0.35">
      <c r="A38" s="24" t="s">
        <v>95</v>
      </c>
      <c r="B38" s="25" t="s">
        <v>75</v>
      </c>
      <c r="C38" s="26" t="s">
        <v>187</v>
      </c>
      <c r="D38" s="22"/>
    </row>
    <row r="39" spans="1:4" ht="16.2" thickBot="1" x14ac:dyDescent="0.35">
      <c r="A39" s="24" t="s">
        <v>96</v>
      </c>
      <c r="B39" s="25" t="s">
        <v>75</v>
      </c>
      <c r="C39" s="27" t="s">
        <v>188</v>
      </c>
      <c r="D39" s="22"/>
    </row>
    <row r="40" spans="1:4" ht="16.2" thickBot="1" x14ac:dyDescent="0.35">
      <c r="A40" s="24" t="s">
        <v>97</v>
      </c>
      <c r="B40" s="25" t="s">
        <v>75</v>
      </c>
      <c r="C40" s="25">
        <v>18821</v>
      </c>
      <c r="D40" s="22"/>
    </row>
    <row r="41" spans="1:4" ht="16.2" thickBot="1" x14ac:dyDescent="0.35">
      <c r="A41" s="24" t="s">
        <v>98</v>
      </c>
      <c r="B41" s="25" t="s">
        <v>75</v>
      </c>
      <c r="C41" s="25">
        <v>3389</v>
      </c>
      <c r="D41" s="22"/>
    </row>
    <row r="42" spans="1:4" ht="16.2" thickBot="1" x14ac:dyDescent="0.35">
      <c r="A42" s="24" t="s">
        <v>99</v>
      </c>
      <c r="B42" s="25" t="s">
        <v>75</v>
      </c>
      <c r="C42" s="25">
        <v>2261</v>
      </c>
      <c r="D42" s="22"/>
    </row>
    <row r="43" spans="1:4" ht="16.2" thickBot="1" x14ac:dyDescent="0.35">
      <c r="A43" s="23" t="s">
        <v>100</v>
      </c>
      <c r="B43" s="22"/>
      <c r="C43" s="22"/>
      <c r="D43" s="22"/>
    </row>
    <row r="44" spans="1:4" ht="16.2" thickBot="1" x14ac:dyDescent="0.35">
      <c r="A44" s="24" t="s">
        <v>74</v>
      </c>
      <c r="B44" s="25" t="s">
        <v>75</v>
      </c>
      <c r="C44" s="25">
        <v>51584</v>
      </c>
      <c r="D44" s="22"/>
    </row>
    <row r="45" spans="1:4" ht="16.2" thickBot="1" x14ac:dyDescent="0.35">
      <c r="A45" s="24" t="s">
        <v>76</v>
      </c>
      <c r="B45" s="25" t="s">
        <v>75</v>
      </c>
      <c r="C45" s="25">
        <v>34934</v>
      </c>
      <c r="D45" s="22"/>
    </row>
    <row r="46" spans="1:4" ht="16.2" thickBot="1" x14ac:dyDescent="0.35">
      <c r="A46" s="24" t="s">
        <v>77</v>
      </c>
      <c r="B46" s="25" t="s">
        <v>75</v>
      </c>
      <c r="C46" s="25">
        <v>21540</v>
      </c>
      <c r="D46" s="22"/>
    </row>
    <row r="47" spans="1:4" ht="16.2" thickBot="1" x14ac:dyDescent="0.35">
      <c r="A47" s="24" t="s">
        <v>78</v>
      </c>
      <c r="B47" s="25" t="s">
        <v>75</v>
      </c>
      <c r="C47" s="25">
        <v>1886</v>
      </c>
      <c r="D47" s="22"/>
    </row>
    <row r="48" spans="1:4" ht="16.2" thickBot="1" x14ac:dyDescent="0.35">
      <c r="A48" s="24" t="s">
        <v>79</v>
      </c>
      <c r="B48" s="25" t="s">
        <v>75</v>
      </c>
      <c r="C48" s="25">
        <v>7785</v>
      </c>
      <c r="D48" s="22"/>
    </row>
    <row r="49" spans="1:4" ht="16.2" thickBot="1" x14ac:dyDescent="0.35">
      <c r="A49" s="24" t="s">
        <v>80</v>
      </c>
      <c r="B49" s="25" t="s">
        <v>75</v>
      </c>
      <c r="C49" s="25">
        <v>3723</v>
      </c>
      <c r="D49" s="22"/>
    </row>
    <row r="50" spans="1:4" ht="16.2" thickBot="1" x14ac:dyDescent="0.35">
      <c r="A50" s="24" t="s">
        <v>81</v>
      </c>
      <c r="B50" s="25" t="s">
        <v>75</v>
      </c>
      <c r="C50" s="25">
        <v>3723</v>
      </c>
      <c r="D50" s="22"/>
    </row>
    <row r="51" spans="1:4" ht="16.2" thickBot="1" x14ac:dyDescent="0.35">
      <c r="A51" s="24" t="s">
        <v>82</v>
      </c>
      <c r="B51" s="25" t="s">
        <v>75</v>
      </c>
      <c r="C51" s="25">
        <v>251</v>
      </c>
      <c r="D51" s="22"/>
    </row>
    <row r="52" spans="1:4" ht="16.2" thickBot="1" x14ac:dyDescent="0.35">
      <c r="A52" s="24" t="s">
        <v>84</v>
      </c>
      <c r="B52" s="25" t="s">
        <v>75</v>
      </c>
      <c r="C52" s="25">
        <v>251</v>
      </c>
      <c r="D52" s="22"/>
    </row>
    <row r="53" spans="1:4" ht="16.2" thickBot="1" x14ac:dyDescent="0.35">
      <c r="A53" s="24" t="s">
        <v>97</v>
      </c>
      <c r="B53" s="25" t="s">
        <v>75</v>
      </c>
      <c r="C53" s="25">
        <v>16399</v>
      </c>
      <c r="D53" s="22"/>
    </row>
    <row r="54" spans="1:4" ht="16.2" thickBot="1" x14ac:dyDescent="0.35">
      <c r="A54" s="24" t="s">
        <v>99</v>
      </c>
      <c r="B54" s="25" t="s">
        <v>75</v>
      </c>
      <c r="C54" s="25">
        <v>2071</v>
      </c>
      <c r="D54" s="22"/>
    </row>
    <row r="55" spans="1:4" ht="16.2" thickBot="1" x14ac:dyDescent="0.35">
      <c r="A55" s="23" t="s">
        <v>101</v>
      </c>
      <c r="B55" s="22"/>
      <c r="C55" s="22"/>
      <c r="D55" s="22"/>
    </row>
    <row r="56" spans="1:4" ht="16.2" thickBot="1" x14ac:dyDescent="0.35">
      <c r="A56" s="24" t="s">
        <v>74</v>
      </c>
      <c r="B56" s="25" t="s">
        <v>75</v>
      </c>
      <c r="C56" s="25">
        <v>453.61</v>
      </c>
      <c r="D56" s="22"/>
    </row>
    <row r="57" spans="1:4" ht="16.2" thickBot="1" x14ac:dyDescent="0.35">
      <c r="A57" s="24" t="s">
        <v>76</v>
      </c>
      <c r="B57" s="25" t="s">
        <v>75</v>
      </c>
      <c r="C57" s="25">
        <v>59.45</v>
      </c>
      <c r="D57" s="22"/>
    </row>
    <row r="58" spans="1:4" ht="16.2" thickBot="1" x14ac:dyDescent="0.35">
      <c r="A58" s="24" t="s">
        <v>85</v>
      </c>
      <c r="B58" s="25" t="s">
        <v>75</v>
      </c>
      <c r="C58" s="25">
        <v>341.8</v>
      </c>
      <c r="D58" s="22"/>
    </row>
    <row r="59" spans="1:4" ht="16.2" thickBot="1" x14ac:dyDescent="0.35">
      <c r="A59" s="24" t="s">
        <v>86</v>
      </c>
      <c r="B59" s="25" t="s">
        <v>75</v>
      </c>
      <c r="C59" s="25">
        <v>52.36</v>
      </c>
      <c r="D59" s="22"/>
    </row>
    <row r="60" spans="1:4" ht="16.2" thickBot="1" x14ac:dyDescent="0.35">
      <c r="A60" s="23" t="s">
        <v>102</v>
      </c>
      <c r="B60" s="22"/>
      <c r="C60" s="22"/>
      <c r="D60" s="22"/>
    </row>
    <row r="61" spans="1:4" ht="16.2" thickBot="1" x14ac:dyDescent="0.35">
      <c r="A61" s="24" t="s">
        <v>74</v>
      </c>
      <c r="B61" s="25" t="s">
        <v>75</v>
      </c>
      <c r="C61" s="25">
        <v>22481</v>
      </c>
      <c r="D61" s="22"/>
    </row>
    <row r="62" spans="1:4" ht="16.2" thickBot="1" x14ac:dyDescent="0.35">
      <c r="A62" s="24" t="s">
        <v>76</v>
      </c>
      <c r="B62" s="25" t="s">
        <v>75</v>
      </c>
      <c r="C62" s="25">
        <v>17185</v>
      </c>
      <c r="D62" s="22"/>
    </row>
    <row r="63" spans="1:4" ht="16.2" thickBot="1" x14ac:dyDescent="0.35">
      <c r="A63" s="24" t="s">
        <v>77</v>
      </c>
      <c r="B63" s="25" t="s">
        <v>75</v>
      </c>
      <c r="C63" s="25">
        <v>14132</v>
      </c>
      <c r="D63" s="22"/>
    </row>
    <row r="64" spans="1:4" ht="16.2" thickBot="1" x14ac:dyDescent="0.35">
      <c r="A64" s="24" t="s">
        <v>78</v>
      </c>
      <c r="B64" s="25" t="s">
        <v>75</v>
      </c>
      <c r="C64" s="25">
        <v>110</v>
      </c>
      <c r="D64" s="22"/>
    </row>
    <row r="65" spans="1:4" ht="16.2" thickBot="1" x14ac:dyDescent="0.35">
      <c r="A65" s="24" t="s">
        <v>79</v>
      </c>
      <c r="B65" s="25" t="s">
        <v>75</v>
      </c>
      <c r="C65" s="25">
        <v>1512</v>
      </c>
      <c r="D65" s="22"/>
    </row>
    <row r="66" spans="1:4" ht="16.2" thickBot="1" x14ac:dyDescent="0.35">
      <c r="A66" s="24" t="s">
        <v>80</v>
      </c>
      <c r="B66" s="25" t="s">
        <v>75</v>
      </c>
      <c r="C66" s="25">
        <v>1431</v>
      </c>
      <c r="D66" s="22"/>
    </row>
    <row r="67" spans="1:4" ht="16.2" thickBot="1" x14ac:dyDescent="0.35">
      <c r="A67" s="24" t="s">
        <v>81</v>
      </c>
      <c r="B67" s="25" t="s">
        <v>75</v>
      </c>
      <c r="C67" s="25">
        <v>1431</v>
      </c>
      <c r="D67" s="22"/>
    </row>
    <row r="68" spans="1:4" ht="16.2" thickBot="1" x14ac:dyDescent="0.35">
      <c r="A68" s="24" t="s">
        <v>82</v>
      </c>
      <c r="B68" s="25" t="s">
        <v>75</v>
      </c>
      <c r="C68" s="25">
        <v>2774</v>
      </c>
      <c r="D68" s="22"/>
    </row>
    <row r="69" spans="1:4" ht="16.2" thickBot="1" x14ac:dyDescent="0.35">
      <c r="A69" s="24" t="s">
        <v>84</v>
      </c>
      <c r="B69" s="25" t="s">
        <v>75</v>
      </c>
      <c r="C69" s="25">
        <v>915</v>
      </c>
      <c r="D69" s="22"/>
    </row>
    <row r="70" spans="1:4" ht="16.2" thickBot="1" x14ac:dyDescent="0.35">
      <c r="A70" s="24" t="s">
        <v>85</v>
      </c>
      <c r="B70" s="25" t="s">
        <v>75</v>
      </c>
      <c r="C70" s="25">
        <v>100</v>
      </c>
      <c r="D70" s="22"/>
    </row>
    <row r="71" spans="1:4" ht="16.2" thickBot="1" x14ac:dyDescent="0.35">
      <c r="A71" s="24" t="s">
        <v>97</v>
      </c>
      <c r="B71" s="25" t="s">
        <v>75</v>
      </c>
      <c r="C71" s="25">
        <v>2422</v>
      </c>
      <c r="D71" s="22"/>
    </row>
    <row r="72" spans="1:4" ht="16.2" thickBot="1" x14ac:dyDescent="0.35">
      <c r="A72" s="21" t="s">
        <v>103</v>
      </c>
      <c r="B72" s="22"/>
      <c r="C72" s="22"/>
      <c r="D72" s="22"/>
    </row>
    <row r="73" spans="1:4" ht="16.2" thickBot="1" x14ac:dyDescent="0.35">
      <c r="A73" s="23" t="s">
        <v>73</v>
      </c>
      <c r="B73" s="22"/>
      <c r="C73" s="22"/>
      <c r="D73" s="22"/>
    </row>
    <row r="74" spans="1:4" ht="16.2" thickBot="1" x14ac:dyDescent="0.35">
      <c r="A74" s="24" t="s">
        <v>76</v>
      </c>
      <c r="B74" s="25" t="s">
        <v>65</v>
      </c>
      <c r="C74" s="25">
        <v>1260114.7</v>
      </c>
      <c r="D74" s="22"/>
    </row>
    <row r="75" spans="1:4" ht="16.2" thickBot="1" x14ac:dyDescent="0.35">
      <c r="A75" s="24" t="s">
        <v>77</v>
      </c>
      <c r="B75" s="25" t="s">
        <v>65</v>
      </c>
      <c r="C75" s="25">
        <v>862414.7</v>
      </c>
      <c r="D75" s="22"/>
    </row>
    <row r="76" spans="1:4" ht="16.2" thickBot="1" x14ac:dyDescent="0.35">
      <c r="A76" s="24" t="s">
        <v>78</v>
      </c>
      <c r="B76" s="25" t="s">
        <v>65</v>
      </c>
      <c r="C76" s="25">
        <v>48365</v>
      </c>
      <c r="D76" s="22"/>
    </row>
    <row r="77" spans="1:4" ht="16.2" thickBot="1" x14ac:dyDescent="0.35">
      <c r="A77" s="24" t="s">
        <v>79</v>
      </c>
      <c r="B77" s="25" t="s">
        <v>65</v>
      </c>
      <c r="C77" s="25">
        <v>235792</v>
      </c>
      <c r="D77" s="22"/>
    </row>
    <row r="78" spans="1:4" ht="16.2" thickBot="1" x14ac:dyDescent="0.35">
      <c r="A78" s="24" t="s">
        <v>80</v>
      </c>
      <c r="B78" s="25" t="s">
        <v>65</v>
      </c>
      <c r="C78" s="25">
        <v>113543</v>
      </c>
      <c r="D78" s="22"/>
    </row>
    <row r="79" spans="1:4" ht="16.2" thickBot="1" x14ac:dyDescent="0.35">
      <c r="A79" s="24" t="s">
        <v>81</v>
      </c>
      <c r="B79" s="25" t="s">
        <v>65</v>
      </c>
      <c r="C79" s="25">
        <v>113543</v>
      </c>
      <c r="D79" s="22"/>
    </row>
    <row r="80" spans="1:4" ht="16.2" thickBot="1" x14ac:dyDescent="0.35">
      <c r="A80" s="24" t="s">
        <v>83</v>
      </c>
      <c r="B80" s="25" t="s">
        <v>65</v>
      </c>
      <c r="C80" s="25">
        <v>22593.8</v>
      </c>
      <c r="D80" s="22"/>
    </row>
    <row r="81" spans="1:4" ht="16.2" thickBot="1" x14ac:dyDescent="0.35">
      <c r="A81" s="24" t="s">
        <v>104</v>
      </c>
      <c r="B81" s="25" t="s">
        <v>65</v>
      </c>
      <c r="C81" s="25">
        <v>20942</v>
      </c>
      <c r="D81" s="22"/>
    </row>
    <row r="82" spans="1:4" ht="16.2" thickBot="1" x14ac:dyDescent="0.35">
      <c r="A82" s="24" t="s">
        <v>84</v>
      </c>
      <c r="B82" s="25" t="s">
        <v>65</v>
      </c>
      <c r="C82" s="25">
        <v>42227.199999999997</v>
      </c>
      <c r="D82" s="22"/>
    </row>
    <row r="83" spans="1:4" ht="16.2" thickBot="1" x14ac:dyDescent="0.35">
      <c r="A83" s="24" t="s">
        <v>105</v>
      </c>
      <c r="B83" s="25" t="s">
        <v>65</v>
      </c>
      <c r="C83" s="25">
        <v>37827</v>
      </c>
      <c r="D83" s="22"/>
    </row>
    <row r="84" spans="1:4" ht="16.2" thickBot="1" x14ac:dyDescent="0.35">
      <c r="A84" s="24" t="s">
        <v>85</v>
      </c>
      <c r="B84" s="25" t="s">
        <v>65</v>
      </c>
      <c r="C84" s="25">
        <v>76225.490000000005</v>
      </c>
      <c r="D84" s="22"/>
    </row>
    <row r="85" spans="1:4" ht="16.2" thickBot="1" x14ac:dyDescent="0.35">
      <c r="A85" s="24" t="s">
        <v>106</v>
      </c>
      <c r="B85" s="25" t="s">
        <v>65</v>
      </c>
      <c r="C85" s="25">
        <v>15095.44</v>
      </c>
      <c r="D85" s="22"/>
    </row>
    <row r="86" spans="1:4" ht="16.2" thickBot="1" x14ac:dyDescent="0.35">
      <c r="A86" s="24" t="s">
        <v>87</v>
      </c>
      <c r="B86" s="25" t="s">
        <v>65</v>
      </c>
      <c r="C86" s="25">
        <v>2495.52</v>
      </c>
      <c r="D86" s="22"/>
    </row>
    <row r="87" spans="1:4" ht="16.2" thickBot="1" x14ac:dyDescent="0.35">
      <c r="A87" s="24" t="s">
        <v>88</v>
      </c>
      <c r="B87" s="25" t="s">
        <v>65</v>
      </c>
      <c r="C87" s="25">
        <v>1502.03</v>
      </c>
      <c r="D87" s="22"/>
    </row>
    <row r="88" spans="1:4" ht="16.2" thickBot="1" x14ac:dyDescent="0.35">
      <c r="A88" s="24" t="s">
        <v>89</v>
      </c>
      <c r="B88" s="25" t="s">
        <v>65</v>
      </c>
      <c r="C88" s="25">
        <v>3428.33</v>
      </c>
      <c r="D88" s="22"/>
    </row>
    <row r="89" spans="1:4" ht="16.2" thickBot="1" x14ac:dyDescent="0.35">
      <c r="A89" s="24" t="s">
        <v>90</v>
      </c>
      <c r="B89" s="25" t="s">
        <v>65</v>
      </c>
      <c r="C89" s="25">
        <v>1068.51</v>
      </c>
      <c r="D89" s="22"/>
    </row>
    <row r="90" spans="1:4" ht="16.2" thickBot="1" x14ac:dyDescent="0.35">
      <c r="A90" s="24" t="s">
        <v>91</v>
      </c>
      <c r="B90" s="25" t="s">
        <v>65</v>
      </c>
      <c r="C90" s="25">
        <v>1935.01</v>
      </c>
      <c r="D90" s="22"/>
    </row>
    <row r="91" spans="1:4" ht="16.2" thickBot="1" x14ac:dyDescent="0.35">
      <c r="A91" s="24" t="s">
        <v>92</v>
      </c>
      <c r="B91" s="25" t="s">
        <v>65</v>
      </c>
      <c r="C91" s="25">
        <v>2065.65</v>
      </c>
      <c r="D91" s="22"/>
    </row>
    <row r="92" spans="1:4" ht="16.2" thickBot="1" x14ac:dyDescent="0.35">
      <c r="A92" s="24" t="s">
        <v>93</v>
      </c>
      <c r="B92" s="25" t="s">
        <v>65</v>
      </c>
      <c r="C92" s="25">
        <v>275.08</v>
      </c>
      <c r="D92" s="22"/>
    </row>
    <row r="93" spans="1:4" ht="16.2" thickBot="1" x14ac:dyDescent="0.35">
      <c r="A93" s="24" t="s">
        <v>94</v>
      </c>
      <c r="B93" s="25" t="s">
        <v>65</v>
      </c>
      <c r="C93" s="27" t="s">
        <v>189</v>
      </c>
      <c r="D93" s="22"/>
    </row>
    <row r="94" spans="1:4" ht="16.2" thickBot="1" x14ac:dyDescent="0.35">
      <c r="A94" s="24" t="s">
        <v>95</v>
      </c>
      <c r="B94" s="25" t="s">
        <v>65</v>
      </c>
      <c r="C94" s="25">
        <v>539.54999999999995</v>
      </c>
      <c r="D94" s="22"/>
    </row>
    <row r="95" spans="1:4" ht="16.2" thickBot="1" x14ac:dyDescent="0.35">
      <c r="A95" s="24" t="s">
        <v>96</v>
      </c>
      <c r="B95" s="25" t="s">
        <v>65</v>
      </c>
      <c r="C95" s="25">
        <v>1329.6</v>
      </c>
      <c r="D95" s="22"/>
    </row>
    <row r="96" spans="1:4" ht="16.2" thickBot="1" x14ac:dyDescent="0.35">
      <c r="A96" s="24" t="s">
        <v>98</v>
      </c>
      <c r="B96" s="25" t="s">
        <v>65</v>
      </c>
      <c r="C96" s="25">
        <v>876772.6</v>
      </c>
      <c r="D96" s="22"/>
    </row>
    <row r="97" spans="1:4" ht="16.2" thickBot="1" x14ac:dyDescent="0.35">
      <c r="A97" s="24" t="s">
        <v>107</v>
      </c>
      <c r="B97" s="25" t="s">
        <v>65</v>
      </c>
      <c r="C97" s="25">
        <v>227126.2</v>
      </c>
      <c r="D97" s="22"/>
    </row>
    <row r="98" spans="1:4" ht="16.2" thickBot="1" x14ac:dyDescent="0.35">
      <c r="A98" s="24" t="s">
        <v>108</v>
      </c>
      <c r="B98" s="25" t="s">
        <v>65</v>
      </c>
      <c r="C98" s="25">
        <v>27490</v>
      </c>
      <c r="D98" s="22"/>
    </row>
    <row r="99" spans="1:4" ht="16.2" thickBot="1" x14ac:dyDescent="0.35">
      <c r="A99" s="24" t="s">
        <v>109</v>
      </c>
      <c r="B99" s="25" t="s">
        <v>65</v>
      </c>
      <c r="C99" s="25">
        <v>634493</v>
      </c>
      <c r="D99" s="22"/>
    </row>
    <row r="100" spans="1:4" ht="16.2" thickBot="1" x14ac:dyDescent="0.35">
      <c r="A100" s="24" t="s">
        <v>110</v>
      </c>
      <c r="B100" s="25" t="s">
        <v>65</v>
      </c>
      <c r="C100" s="25">
        <v>3400</v>
      </c>
      <c r="D100" s="22"/>
    </row>
    <row r="101" spans="1:4" ht="16.2" thickBot="1" x14ac:dyDescent="0.35">
      <c r="A101" s="23" t="s">
        <v>100</v>
      </c>
      <c r="B101" s="22"/>
      <c r="C101" s="22"/>
      <c r="D101" s="22"/>
    </row>
    <row r="102" spans="1:4" ht="16.2" thickBot="1" x14ac:dyDescent="0.35">
      <c r="A102" s="24" t="s">
        <v>76</v>
      </c>
      <c r="B102" s="25" t="s">
        <v>65</v>
      </c>
      <c r="C102" s="25">
        <v>847432.7</v>
      </c>
      <c r="D102" s="22"/>
    </row>
    <row r="103" spans="1:4" ht="16.2" thickBot="1" x14ac:dyDescent="0.35">
      <c r="A103" s="24" t="s">
        <v>77</v>
      </c>
      <c r="B103" s="25" t="s">
        <v>65</v>
      </c>
      <c r="C103" s="25">
        <v>529616.69999999995</v>
      </c>
      <c r="D103" s="22"/>
    </row>
    <row r="104" spans="1:4" ht="16.2" thickBot="1" x14ac:dyDescent="0.35">
      <c r="A104" s="24" t="s">
        <v>78</v>
      </c>
      <c r="B104" s="25" t="s">
        <v>65</v>
      </c>
      <c r="C104" s="25">
        <v>46529</v>
      </c>
      <c r="D104" s="22"/>
    </row>
    <row r="105" spans="1:4" ht="16.2" thickBot="1" x14ac:dyDescent="0.35">
      <c r="A105" s="24" t="s">
        <v>79</v>
      </c>
      <c r="B105" s="25" t="s">
        <v>65</v>
      </c>
      <c r="C105" s="25">
        <v>196201</v>
      </c>
      <c r="D105" s="22"/>
    </row>
    <row r="106" spans="1:4" ht="16.2" thickBot="1" x14ac:dyDescent="0.35">
      <c r="A106" s="24" t="s">
        <v>80</v>
      </c>
      <c r="B106" s="25" t="s">
        <v>65</v>
      </c>
      <c r="C106" s="25">
        <v>75086</v>
      </c>
      <c r="D106" s="22"/>
    </row>
    <row r="107" spans="1:4" ht="16.2" thickBot="1" x14ac:dyDescent="0.35">
      <c r="A107" s="24" t="s">
        <v>81</v>
      </c>
      <c r="B107" s="25" t="s">
        <v>65</v>
      </c>
      <c r="C107" s="25">
        <v>75086</v>
      </c>
      <c r="D107" s="22"/>
    </row>
    <row r="108" spans="1:4" ht="16.2" thickBot="1" x14ac:dyDescent="0.35">
      <c r="A108" s="24" t="s">
        <v>84</v>
      </c>
      <c r="B108" s="25" t="s">
        <v>65</v>
      </c>
      <c r="C108" s="25">
        <v>13090</v>
      </c>
      <c r="D108" s="22"/>
    </row>
    <row r="109" spans="1:4" ht="16.2" thickBot="1" x14ac:dyDescent="0.35">
      <c r="A109" s="24" t="s">
        <v>105</v>
      </c>
      <c r="B109" s="25" t="s">
        <v>65</v>
      </c>
      <c r="C109" s="25">
        <v>12781</v>
      </c>
      <c r="D109" s="22"/>
    </row>
    <row r="110" spans="1:4" ht="16.2" thickBot="1" x14ac:dyDescent="0.35">
      <c r="A110" s="24" t="s">
        <v>107</v>
      </c>
      <c r="B110" s="25" t="s">
        <v>65</v>
      </c>
      <c r="C110" s="25">
        <v>220226.2</v>
      </c>
      <c r="D110" s="22"/>
    </row>
    <row r="111" spans="1:4" ht="16.2" thickBot="1" x14ac:dyDescent="0.35">
      <c r="A111" s="24" t="s">
        <v>108</v>
      </c>
      <c r="B111" s="25" t="s">
        <v>65</v>
      </c>
      <c r="C111" s="25">
        <v>13080</v>
      </c>
      <c r="D111" s="22"/>
    </row>
    <row r="112" spans="1:4" ht="16.2" thickBot="1" x14ac:dyDescent="0.35">
      <c r="A112" s="24" t="s">
        <v>109</v>
      </c>
      <c r="B112" s="25" t="s">
        <v>65</v>
      </c>
      <c r="C112" s="25">
        <v>634493</v>
      </c>
      <c r="D112" s="22"/>
    </row>
    <row r="113" spans="1:4" ht="16.2" thickBot="1" x14ac:dyDescent="0.35">
      <c r="A113" s="24" t="s">
        <v>110</v>
      </c>
      <c r="B113" s="25" t="s">
        <v>65</v>
      </c>
      <c r="C113" s="25">
        <v>3400</v>
      </c>
      <c r="D113" s="22"/>
    </row>
    <row r="114" spans="1:4" ht="16.2" thickBot="1" x14ac:dyDescent="0.35">
      <c r="A114" s="23" t="s">
        <v>101</v>
      </c>
      <c r="B114" s="22"/>
      <c r="C114" s="22"/>
      <c r="D114" s="22"/>
    </row>
    <row r="115" spans="1:4" ht="16.2" thickBot="1" x14ac:dyDescent="0.35">
      <c r="A115" s="24" t="s">
        <v>76</v>
      </c>
      <c r="B115" s="25" t="s">
        <v>65</v>
      </c>
      <c r="C115" s="25">
        <v>914</v>
      </c>
      <c r="D115" s="22"/>
    </row>
    <row r="116" spans="1:4" ht="16.2" thickBot="1" x14ac:dyDescent="0.35">
      <c r="A116" s="24" t="s">
        <v>85</v>
      </c>
      <c r="B116" s="25" t="s">
        <v>65</v>
      </c>
      <c r="C116" s="25">
        <v>51225.49</v>
      </c>
      <c r="D116" s="22"/>
    </row>
    <row r="117" spans="1:4" ht="16.2" thickBot="1" x14ac:dyDescent="0.35">
      <c r="A117" s="24" t="s">
        <v>106</v>
      </c>
      <c r="B117" s="25" t="s">
        <v>65</v>
      </c>
      <c r="C117" s="25">
        <v>15095.44</v>
      </c>
      <c r="D117" s="22"/>
    </row>
    <row r="118" spans="1:4" ht="16.2" thickBot="1" x14ac:dyDescent="0.35">
      <c r="A118" s="23" t="s">
        <v>102</v>
      </c>
      <c r="B118" s="22"/>
      <c r="C118" s="22"/>
      <c r="D118" s="22"/>
    </row>
    <row r="119" spans="1:4" ht="16.2" thickBot="1" x14ac:dyDescent="0.35">
      <c r="A119" s="24" t="s">
        <v>76</v>
      </c>
      <c r="B119" s="25" t="s">
        <v>65</v>
      </c>
      <c r="C119" s="25">
        <v>411768</v>
      </c>
      <c r="D119" s="22"/>
    </row>
    <row r="120" spans="1:4" ht="16.2" thickBot="1" x14ac:dyDescent="0.35">
      <c r="A120" s="24" t="s">
        <v>77</v>
      </c>
      <c r="B120" s="25" t="s">
        <v>65</v>
      </c>
      <c r="C120" s="25">
        <v>332765</v>
      </c>
      <c r="D120" s="22"/>
    </row>
    <row r="121" spans="1:4" ht="16.2" thickBot="1" x14ac:dyDescent="0.35">
      <c r="A121" s="24" t="s">
        <v>78</v>
      </c>
      <c r="B121" s="25" t="s">
        <v>65</v>
      </c>
      <c r="C121" s="25">
        <v>1836</v>
      </c>
      <c r="D121" s="22"/>
    </row>
    <row r="122" spans="1:4" ht="16.2" thickBot="1" x14ac:dyDescent="0.35">
      <c r="A122" s="24" t="s">
        <v>79</v>
      </c>
      <c r="B122" s="25" t="s">
        <v>65</v>
      </c>
      <c r="C122" s="25">
        <v>38969</v>
      </c>
      <c r="D122" s="22"/>
    </row>
    <row r="123" spans="1:4" ht="16.2" thickBot="1" x14ac:dyDescent="0.35">
      <c r="A123" s="24" t="s">
        <v>80</v>
      </c>
      <c r="B123" s="25" t="s">
        <v>65</v>
      </c>
      <c r="C123" s="25">
        <v>38198</v>
      </c>
      <c r="D123" s="22"/>
    </row>
    <row r="124" spans="1:4" ht="16.2" thickBot="1" x14ac:dyDescent="0.35">
      <c r="A124" s="24" t="s">
        <v>81</v>
      </c>
      <c r="B124" s="25" t="s">
        <v>65</v>
      </c>
      <c r="C124" s="25">
        <v>38198</v>
      </c>
      <c r="D124" s="22"/>
    </row>
    <row r="125" spans="1:4" ht="16.2" thickBot="1" x14ac:dyDescent="0.35">
      <c r="A125" s="24" t="s">
        <v>84</v>
      </c>
      <c r="B125" s="25" t="s">
        <v>65</v>
      </c>
      <c r="C125" s="25">
        <v>29137.200000000001</v>
      </c>
      <c r="D125" s="22"/>
    </row>
    <row r="126" spans="1:4" ht="16.2" thickBot="1" x14ac:dyDescent="0.35">
      <c r="A126" s="24" t="s">
        <v>105</v>
      </c>
      <c r="B126" s="25" t="s">
        <v>65</v>
      </c>
      <c r="C126" s="25">
        <v>25046</v>
      </c>
      <c r="D126" s="22"/>
    </row>
    <row r="127" spans="1:4" ht="16.2" thickBot="1" x14ac:dyDescent="0.35">
      <c r="A127" s="24" t="s">
        <v>85</v>
      </c>
      <c r="B127" s="25" t="s">
        <v>65</v>
      </c>
      <c r="C127" s="25">
        <v>25000</v>
      </c>
      <c r="D127" s="22"/>
    </row>
    <row r="128" spans="1:4" ht="16.2" thickBot="1" x14ac:dyDescent="0.35">
      <c r="A128" s="21" t="s">
        <v>111</v>
      </c>
      <c r="B128" s="22"/>
      <c r="C128" s="22"/>
      <c r="D128" s="22"/>
    </row>
    <row r="129" spans="1:4" ht="16.2" thickBot="1" x14ac:dyDescent="0.35">
      <c r="A129" s="23" t="s">
        <v>73</v>
      </c>
      <c r="B129" s="22"/>
      <c r="C129" s="22"/>
      <c r="D129" s="22"/>
    </row>
    <row r="130" spans="1:4" ht="16.2" thickBot="1" x14ac:dyDescent="0.35">
      <c r="A130" s="24" t="s">
        <v>76</v>
      </c>
      <c r="B130" s="25" t="s">
        <v>112</v>
      </c>
      <c r="C130" s="25">
        <v>24.15</v>
      </c>
      <c r="D130" s="22"/>
    </row>
    <row r="131" spans="1:4" ht="16.2" thickBot="1" x14ac:dyDescent="0.35">
      <c r="A131" s="24" t="s">
        <v>77</v>
      </c>
      <c r="B131" s="25" t="s">
        <v>112</v>
      </c>
      <c r="C131" s="25">
        <v>24.17</v>
      </c>
      <c r="D131" s="22"/>
    </row>
    <row r="132" spans="1:4" ht="16.2" thickBot="1" x14ac:dyDescent="0.35">
      <c r="A132" s="24" t="s">
        <v>78</v>
      </c>
      <c r="B132" s="25" t="s">
        <v>112</v>
      </c>
      <c r="C132" s="25">
        <v>24.23</v>
      </c>
      <c r="D132" s="22"/>
    </row>
    <row r="133" spans="1:4" ht="16.2" thickBot="1" x14ac:dyDescent="0.35">
      <c r="A133" s="24" t="s">
        <v>79</v>
      </c>
      <c r="B133" s="25" t="s">
        <v>112</v>
      </c>
      <c r="C133" s="25">
        <v>25.26</v>
      </c>
      <c r="D133" s="22"/>
    </row>
    <row r="134" spans="1:4" ht="16.2" thickBot="1" x14ac:dyDescent="0.35">
      <c r="A134" s="24" t="s">
        <v>80</v>
      </c>
      <c r="B134" s="25" t="s">
        <v>112</v>
      </c>
      <c r="C134" s="25">
        <v>21.96</v>
      </c>
      <c r="D134" s="22"/>
    </row>
    <row r="135" spans="1:4" ht="16.2" thickBot="1" x14ac:dyDescent="0.35">
      <c r="A135" s="24" t="s">
        <v>81</v>
      </c>
      <c r="B135" s="25" t="s">
        <v>112</v>
      </c>
      <c r="C135" s="25">
        <v>21.96</v>
      </c>
      <c r="D135" s="22"/>
    </row>
    <row r="136" spans="1:4" ht="16.2" thickBot="1" x14ac:dyDescent="0.35">
      <c r="A136" s="24" t="s">
        <v>83</v>
      </c>
      <c r="B136" s="25" t="s">
        <v>112</v>
      </c>
      <c r="C136" s="26" t="s">
        <v>190</v>
      </c>
      <c r="D136" s="22"/>
    </row>
    <row r="137" spans="1:4" ht="16.2" thickBot="1" x14ac:dyDescent="0.35">
      <c r="A137" s="24" t="s">
        <v>104</v>
      </c>
      <c r="B137" s="25" t="s">
        <v>112</v>
      </c>
      <c r="C137" s="26" t="s">
        <v>191</v>
      </c>
      <c r="D137" s="22"/>
    </row>
    <row r="138" spans="1:4" ht="16.2" thickBot="1" x14ac:dyDescent="0.35">
      <c r="A138" s="24" t="s">
        <v>84</v>
      </c>
      <c r="B138" s="25" t="s">
        <v>112</v>
      </c>
      <c r="C138" s="25">
        <v>36.22</v>
      </c>
      <c r="D138" s="22"/>
    </row>
    <row r="139" spans="1:4" ht="16.2" thickBot="1" x14ac:dyDescent="0.35">
      <c r="A139" s="24" t="s">
        <v>105</v>
      </c>
      <c r="B139" s="25" t="s">
        <v>112</v>
      </c>
      <c r="C139" s="25">
        <v>32.44</v>
      </c>
      <c r="D139" s="22"/>
    </row>
    <row r="140" spans="1:4" ht="16.2" thickBot="1" x14ac:dyDescent="0.35">
      <c r="A140" s="24" t="s">
        <v>85</v>
      </c>
      <c r="B140" s="25" t="s">
        <v>112</v>
      </c>
      <c r="C140" s="25">
        <v>172.53</v>
      </c>
      <c r="D140" s="22"/>
    </row>
    <row r="141" spans="1:4" ht="16.2" thickBot="1" x14ac:dyDescent="0.35">
      <c r="A141" s="24" t="s">
        <v>106</v>
      </c>
      <c r="B141" s="25" t="s">
        <v>112</v>
      </c>
      <c r="C141" s="25">
        <v>288</v>
      </c>
      <c r="D141" s="22"/>
    </row>
    <row r="142" spans="1:4" ht="16.2" thickBot="1" x14ac:dyDescent="0.35">
      <c r="A142" s="24" t="s">
        <v>87</v>
      </c>
      <c r="B142" s="25" t="s">
        <v>112</v>
      </c>
      <c r="C142" s="25">
        <v>265.2</v>
      </c>
      <c r="D142" s="22"/>
    </row>
    <row r="143" spans="1:4" ht="16.2" thickBot="1" x14ac:dyDescent="0.35">
      <c r="A143" s="24" t="s">
        <v>88</v>
      </c>
      <c r="B143" s="25" t="s">
        <v>112</v>
      </c>
      <c r="C143" s="25">
        <v>310</v>
      </c>
      <c r="D143" s="22"/>
    </row>
    <row r="144" spans="1:4" ht="16.2" thickBot="1" x14ac:dyDescent="0.35">
      <c r="A144" s="24" t="s">
        <v>89</v>
      </c>
      <c r="B144" s="25" t="s">
        <v>112</v>
      </c>
      <c r="C144" s="25">
        <v>335.45</v>
      </c>
      <c r="D144" s="22"/>
    </row>
    <row r="145" spans="1:4" ht="16.2" thickBot="1" x14ac:dyDescent="0.35">
      <c r="A145" s="24" t="s">
        <v>90</v>
      </c>
      <c r="B145" s="25" t="s">
        <v>112</v>
      </c>
      <c r="C145" s="25">
        <v>360.98</v>
      </c>
      <c r="D145" s="22"/>
    </row>
    <row r="146" spans="1:4" ht="16.2" thickBot="1" x14ac:dyDescent="0.35">
      <c r="A146" s="24" t="s">
        <v>91</v>
      </c>
      <c r="B146" s="25" t="s">
        <v>112</v>
      </c>
      <c r="C146" s="25">
        <v>351.82</v>
      </c>
      <c r="D146" s="22"/>
    </row>
    <row r="147" spans="1:4" ht="16.2" thickBot="1" x14ac:dyDescent="0.35">
      <c r="A147" s="24" t="s">
        <v>92</v>
      </c>
      <c r="B147" s="25" t="s">
        <v>112</v>
      </c>
      <c r="C147" s="25">
        <v>262.47000000000003</v>
      </c>
      <c r="D147" s="22"/>
    </row>
    <row r="148" spans="1:4" ht="16.2" thickBot="1" x14ac:dyDescent="0.35">
      <c r="A148" s="24" t="s">
        <v>93</v>
      </c>
      <c r="B148" s="25" t="s">
        <v>112</v>
      </c>
      <c r="C148" s="25">
        <v>93.88</v>
      </c>
      <c r="D148" s="22"/>
    </row>
    <row r="149" spans="1:4" ht="16.2" thickBot="1" x14ac:dyDescent="0.35">
      <c r="A149" s="24" t="s">
        <v>94</v>
      </c>
      <c r="B149" s="25" t="s">
        <v>112</v>
      </c>
      <c r="C149" s="25">
        <v>72.62</v>
      </c>
      <c r="D149" s="22"/>
    </row>
    <row r="150" spans="1:4" ht="16.2" thickBot="1" x14ac:dyDescent="0.35">
      <c r="A150" s="24" t="s">
        <v>95</v>
      </c>
      <c r="B150" s="25" t="s">
        <v>112</v>
      </c>
      <c r="C150" s="25">
        <v>209.13</v>
      </c>
      <c r="D150" s="22"/>
    </row>
    <row r="151" spans="1:4" ht="16.2" thickBot="1" x14ac:dyDescent="0.35">
      <c r="A151" s="24" t="s">
        <v>96</v>
      </c>
      <c r="B151" s="25" t="s">
        <v>112</v>
      </c>
      <c r="C151" s="25">
        <v>329.93</v>
      </c>
      <c r="D151" s="22"/>
    </row>
    <row r="152" spans="1:4" ht="16.2" thickBot="1" x14ac:dyDescent="0.35">
      <c r="A152" s="24" t="s">
        <v>98</v>
      </c>
      <c r="B152" s="25" t="s">
        <v>112</v>
      </c>
      <c r="C152" s="25">
        <v>258.70999999999998</v>
      </c>
      <c r="D152" s="22"/>
    </row>
    <row r="153" spans="1:4" ht="16.2" thickBot="1" x14ac:dyDescent="0.35">
      <c r="A153" s="24" t="s">
        <v>107</v>
      </c>
      <c r="B153" s="25" t="s">
        <v>112</v>
      </c>
      <c r="C153" s="25">
        <v>100.45</v>
      </c>
      <c r="D153" s="22"/>
    </row>
    <row r="154" spans="1:4" ht="16.2" thickBot="1" x14ac:dyDescent="0.35">
      <c r="A154" s="24" t="s">
        <v>108</v>
      </c>
      <c r="B154" s="25" t="s">
        <v>112</v>
      </c>
      <c r="C154" s="26" t="s">
        <v>192</v>
      </c>
      <c r="D154" s="22"/>
    </row>
    <row r="155" spans="1:4" ht="16.2" thickBot="1" x14ac:dyDescent="0.35">
      <c r="A155" s="24" t="s">
        <v>109</v>
      </c>
      <c r="B155" s="25" t="s">
        <v>112</v>
      </c>
      <c r="C155" s="25">
        <v>89.64</v>
      </c>
      <c r="D155" s="22"/>
    </row>
    <row r="156" spans="1:4" ht="16.2" thickBot="1" x14ac:dyDescent="0.35">
      <c r="A156" s="24" t="s">
        <v>110</v>
      </c>
      <c r="B156" s="25" t="s">
        <v>112</v>
      </c>
      <c r="C156" s="25">
        <v>20</v>
      </c>
      <c r="D156" s="22"/>
    </row>
    <row r="157" spans="1:4" ht="16.2" thickBot="1" x14ac:dyDescent="0.35">
      <c r="A157" s="23" t="s">
        <v>100</v>
      </c>
      <c r="B157" s="22"/>
      <c r="C157" s="22"/>
      <c r="D157" s="22"/>
    </row>
    <row r="158" spans="1:4" ht="16.2" thickBot="1" x14ac:dyDescent="0.35">
      <c r="A158" s="24" t="s">
        <v>76</v>
      </c>
      <c r="B158" s="25" t="s">
        <v>112</v>
      </c>
      <c r="C158" s="25">
        <v>24.26</v>
      </c>
      <c r="D158" s="22"/>
    </row>
    <row r="159" spans="1:4" ht="16.2" thickBot="1" x14ac:dyDescent="0.35">
      <c r="A159" s="24" t="s">
        <v>77</v>
      </c>
      <c r="B159" s="25" t="s">
        <v>112</v>
      </c>
      <c r="C159" s="25">
        <v>24.59</v>
      </c>
      <c r="D159" s="22"/>
    </row>
    <row r="160" spans="1:4" ht="16.2" thickBot="1" x14ac:dyDescent="0.35">
      <c r="A160" s="24" t="s">
        <v>78</v>
      </c>
      <c r="B160" s="25" t="s">
        <v>112</v>
      </c>
      <c r="C160" s="25">
        <v>24.67</v>
      </c>
      <c r="D160" s="22"/>
    </row>
    <row r="161" spans="1:4" ht="16.2" thickBot="1" x14ac:dyDescent="0.35">
      <c r="A161" s="24" t="s">
        <v>79</v>
      </c>
      <c r="B161" s="25" t="s">
        <v>112</v>
      </c>
      <c r="C161" s="27" t="s">
        <v>193</v>
      </c>
      <c r="D161" s="22"/>
    </row>
    <row r="162" spans="1:4" ht="16.2" thickBot="1" x14ac:dyDescent="0.35">
      <c r="A162" s="24" t="s">
        <v>80</v>
      </c>
      <c r="B162" s="25" t="s">
        <v>112</v>
      </c>
      <c r="C162" s="25">
        <v>20.170000000000002</v>
      </c>
      <c r="D162" s="22"/>
    </row>
    <row r="163" spans="1:4" ht="16.2" thickBot="1" x14ac:dyDescent="0.35">
      <c r="A163" s="24" t="s">
        <v>81</v>
      </c>
      <c r="B163" s="25" t="s">
        <v>112</v>
      </c>
      <c r="C163" s="25">
        <v>20.170000000000002</v>
      </c>
      <c r="D163" s="22"/>
    </row>
    <row r="164" spans="1:4" ht="16.2" thickBot="1" x14ac:dyDescent="0.35">
      <c r="A164" s="24" t="s">
        <v>84</v>
      </c>
      <c r="B164" s="25" t="s">
        <v>112</v>
      </c>
      <c r="C164" s="25">
        <v>52.15</v>
      </c>
      <c r="D164" s="22"/>
    </row>
    <row r="165" spans="1:4" ht="16.2" thickBot="1" x14ac:dyDescent="0.35">
      <c r="A165" s="24" t="s">
        <v>105</v>
      </c>
      <c r="B165" s="25" t="s">
        <v>112</v>
      </c>
      <c r="C165" s="25">
        <v>50.92</v>
      </c>
      <c r="D165" s="22"/>
    </row>
    <row r="166" spans="1:4" ht="16.2" thickBot="1" x14ac:dyDescent="0.35">
      <c r="A166" s="24" t="s">
        <v>98</v>
      </c>
      <c r="B166" s="25" t="s">
        <v>112</v>
      </c>
      <c r="C166" s="25">
        <v>262.16000000000003</v>
      </c>
      <c r="D166" s="22"/>
    </row>
    <row r="167" spans="1:4" ht="16.2" thickBot="1" x14ac:dyDescent="0.35">
      <c r="A167" s="24" t="s">
        <v>107</v>
      </c>
      <c r="B167" s="25" t="s">
        <v>112</v>
      </c>
      <c r="C167" s="25">
        <v>106.34</v>
      </c>
      <c r="D167" s="22"/>
    </row>
    <row r="168" spans="1:4" ht="16.2" thickBot="1" x14ac:dyDescent="0.35">
      <c r="A168" s="24" t="s">
        <v>108</v>
      </c>
      <c r="B168" s="25" t="s">
        <v>112</v>
      </c>
      <c r="C168" s="27" t="s">
        <v>194</v>
      </c>
      <c r="D168" s="22"/>
    </row>
    <row r="169" spans="1:4" ht="16.2" thickBot="1" x14ac:dyDescent="0.35">
      <c r="A169" s="24" t="s">
        <v>109</v>
      </c>
      <c r="B169" s="25" t="s">
        <v>112</v>
      </c>
      <c r="C169" s="25">
        <v>89.64</v>
      </c>
      <c r="D169" s="22"/>
    </row>
    <row r="170" spans="1:4" ht="16.2" thickBot="1" x14ac:dyDescent="0.35">
      <c r="A170" s="24" t="s">
        <v>110</v>
      </c>
      <c r="B170" s="25" t="s">
        <v>112</v>
      </c>
      <c r="C170" s="25">
        <v>20</v>
      </c>
      <c r="D170" s="22"/>
    </row>
    <row r="171" spans="1:4" ht="16.2" thickBot="1" x14ac:dyDescent="0.35">
      <c r="A171" s="23" t="s">
        <v>101</v>
      </c>
      <c r="B171" s="22"/>
      <c r="C171" s="22"/>
      <c r="D171" s="22"/>
    </row>
    <row r="172" spans="1:4" ht="16.2" thickBot="1" x14ac:dyDescent="0.35">
      <c r="A172" s="24" t="s">
        <v>76</v>
      </c>
      <c r="B172" s="25" t="s">
        <v>112</v>
      </c>
      <c r="C172" s="25">
        <v>15.37</v>
      </c>
      <c r="D172" s="22"/>
    </row>
    <row r="173" spans="1:4" ht="16.2" thickBot="1" x14ac:dyDescent="0.35">
      <c r="A173" s="24" t="s">
        <v>85</v>
      </c>
      <c r="B173" s="25" t="s">
        <v>112</v>
      </c>
      <c r="C173" s="25">
        <v>149.87</v>
      </c>
      <c r="D173" s="22"/>
    </row>
    <row r="174" spans="1:4" ht="16.2" thickBot="1" x14ac:dyDescent="0.35">
      <c r="A174" s="24" t="s">
        <v>106</v>
      </c>
      <c r="B174" s="25" t="s">
        <v>112</v>
      </c>
      <c r="C174" s="25">
        <v>288</v>
      </c>
      <c r="D174" s="22"/>
    </row>
    <row r="175" spans="1:4" ht="16.2" thickBot="1" x14ac:dyDescent="0.35">
      <c r="A175" s="23" t="s">
        <v>102</v>
      </c>
      <c r="B175" s="22"/>
      <c r="C175" s="22"/>
      <c r="D175" s="22"/>
    </row>
    <row r="176" spans="1:4" ht="16.2" thickBot="1" x14ac:dyDescent="0.35">
      <c r="A176" s="24" t="s">
        <v>76</v>
      </c>
      <c r="B176" s="25" t="s">
        <v>112</v>
      </c>
      <c r="C176" s="25">
        <v>23.96</v>
      </c>
      <c r="D176" s="22"/>
    </row>
    <row r="177" spans="1:4" ht="16.2" thickBot="1" x14ac:dyDescent="0.35">
      <c r="A177" s="24" t="s">
        <v>77</v>
      </c>
      <c r="B177" s="25" t="s">
        <v>112</v>
      </c>
      <c r="C177" s="25">
        <v>23.55</v>
      </c>
      <c r="D177" s="22"/>
    </row>
    <row r="178" spans="1:4" ht="16.2" thickBot="1" x14ac:dyDescent="0.35">
      <c r="A178" s="24" t="s">
        <v>78</v>
      </c>
      <c r="B178" s="25" t="s">
        <v>112</v>
      </c>
      <c r="C178" s="25">
        <v>16.690000000000001</v>
      </c>
      <c r="D178" s="22"/>
    </row>
    <row r="179" spans="1:4" ht="16.2" thickBot="1" x14ac:dyDescent="0.35">
      <c r="A179" s="24" t="s">
        <v>79</v>
      </c>
      <c r="B179" s="25" t="s">
        <v>112</v>
      </c>
      <c r="C179" s="25">
        <v>25.77</v>
      </c>
      <c r="D179" s="22"/>
    </row>
    <row r="180" spans="1:4" ht="16.2" thickBot="1" x14ac:dyDescent="0.35">
      <c r="A180" s="24" t="s">
        <v>80</v>
      </c>
      <c r="B180" s="25" t="s">
        <v>112</v>
      </c>
      <c r="C180" s="25">
        <v>26.69</v>
      </c>
      <c r="D180" s="22"/>
    </row>
    <row r="181" spans="1:4" ht="16.2" thickBot="1" x14ac:dyDescent="0.35">
      <c r="A181" s="24" t="s">
        <v>81</v>
      </c>
      <c r="B181" s="25" t="s">
        <v>112</v>
      </c>
      <c r="C181" s="25">
        <v>26.69</v>
      </c>
      <c r="D181" s="22"/>
    </row>
    <row r="182" spans="1:4" ht="16.2" thickBot="1" x14ac:dyDescent="0.35">
      <c r="A182" s="24" t="s">
        <v>84</v>
      </c>
      <c r="B182" s="25" t="s">
        <v>112</v>
      </c>
      <c r="C182" s="25">
        <v>31.84</v>
      </c>
      <c r="D182" s="22"/>
    </row>
    <row r="183" spans="1:4" ht="16.2" thickBot="1" x14ac:dyDescent="0.35">
      <c r="A183" s="24" t="s">
        <v>105</v>
      </c>
      <c r="B183" s="25" t="s">
        <v>112</v>
      </c>
      <c r="C183" s="25">
        <v>27.37</v>
      </c>
      <c r="D183" s="22"/>
    </row>
    <row r="184" spans="1:4" ht="16.2" thickBot="1" x14ac:dyDescent="0.35">
      <c r="A184" s="24" t="s">
        <v>85</v>
      </c>
      <c r="B184" s="25" t="s">
        <v>112</v>
      </c>
      <c r="C184" s="25">
        <v>250</v>
      </c>
      <c r="D184" s="22"/>
    </row>
    <row r="185" spans="1:4" ht="16.2" thickBot="1" x14ac:dyDescent="0.35">
      <c r="A185" s="24" t="s">
        <v>98</v>
      </c>
      <c r="B185" s="25" t="s">
        <v>112</v>
      </c>
      <c r="C185" s="25">
        <v>145.33000000000001</v>
      </c>
      <c r="D185" s="22"/>
    </row>
    <row r="186" spans="1:4" ht="16.2" thickBot="1" x14ac:dyDescent="0.35">
      <c r="A186" s="21" t="s">
        <v>113</v>
      </c>
      <c r="B186" s="22"/>
      <c r="C186" s="22"/>
      <c r="D186" s="22"/>
    </row>
    <row r="187" spans="1:4" ht="16.2" thickBot="1" x14ac:dyDescent="0.35">
      <c r="A187" s="23" t="s">
        <v>73</v>
      </c>
      <c r="B187" s="22"/>
      <c r="C187" s="22"/>
      <c r="D187" s="22"/>
    </row>
    <row r="188" spans="1:4" ht="16.2" thickBot="1" x14ac:dyDescent="0.35">
      <c r="A188" s="24" t="s">
        <v>74</v>
      </c>
      <c r="B188" s="25" t="s">
        <v>75</v>
      </c>
      <c r="C188" s="25">
        <v>74516.77</v>
      </c>
      <c r="D188" s="22"/>
    </row>
    <row r="189" spans="1:4" ht="16.2" thickBot="1" x14ac:dyDescent="0.35">
      <c r="A189" s="24" t="s">
        <v>76</v>
      </c>
      <c r="B189" s="25" t="s">
        <v>75</v>
      </c>
      <c r="C189" s="25">
        <v>52178.02</v>
      </c>
      <c r="D189" s="22"/>
    </row>
    <row r="190" spans="1:4" ht="16.2" thickBot="1" x14ac:dyDescent="0.35">
      <c r="A190" s="24" t="s">
        <v>69</v>
      </c>
      <c r="B190" s="25" t="s">
        <v>75</v>
      </c>
      <c r="C190" s="25">
        <v>35675.300000000003</v>
      </c>
      <c r="D190" s="22"/>
    </row>
    <row r="191" spans="1:4" ht="16.2" thickBot="1" x14ac:dyDescent="0.35">
      <c r="A191" s="24" t="s">
        <v>77</v>
      </c>
      <c r="B191" s="25" t="s">
        <v>75</v>
      </c>
      <c r="C191" s="25">
        <v>35675.300000000003</v>
      </c>
      <c r="D191" s="22"/>
    </row>
    <row r="192" spans="1:4" ht="16.2" thickBot="1" x14ac:dyDescent="0.35">
      <c r="A192" s="24" t="s">
        <v>114</v>
      </c>
      <c r="B192" s="25" t="s">
        <v>75</v>
      </c>
      <c r="C192" s="25">
        <v>52178.02</v>
      </c>
      <c r="D192" s="22"/>
    </row>
    <row r="193" spans="1:4" ht="16.2" thickBot="1" x14ac:dyDescent="0.35">
      <c r="A193" s="24" t="s">
        <v>78</v>
      </c>
      <c r="B193" s="25" t="s">
        <v>75</v>
      </c>
      <c r="C193" s="25">
        <v>1996</v>
      </c>
      <c r="D193" s="22"/>
    </row>
    <row r="194" spans="1:4" ht="16.2" thickBot="1" x14ac:dyDescent="0.35">
      <c r="A194" s="24" t="s">
        <v>79</v>
      </c>
      <c r="B194" s="25" t="s">
        <v>75</v>
      </c>
      <c r="C194" s="25">
        <v>9335.2999999999993</v>
      </c>
      <c r="D194" s="22"/>
    </row>
    <row r="195" spans="1:4" ht="16.2" thickBot="1" x14ac:dyDescent="0.35">
      <c r="A195" s="24" t="s">
        <v>80</v>
      </c>
      <c r="B195" s="25" t="s">
        <v>75</v>
      </c>
      <c r="C195" s="25">
        <v>5171.42</v>
      </c>
      <c r="D195" s="22"/>
    </row>
    <row r="196" spans="1:4" ht="16.2" thickBot="1" x14ac:dyDescent="0.35">
      <c r="A196" s="24" t="s">
        <v>81</v>
      </c>
      <c r="B196" s="25" t="s">
        <v>75</v>
      </c>
      <c r="C196" s="25">
        <v>5171.3999999999996</v>
      </c>
      <c r="D196" s="22"/>
    </row>
    <row r="197" spans="1:4" ht="16.2" thickBot="1" x14ac:dyDescent="0.35">
      <c r="A197" s="24" t="s">
        <v>84</v>
      </c>
      <c r="B197" s="25" t="s">
        <v>75</v>
      </c>
      <c r="C197" s="25">
        <v>1166</v>
      </c>
      <c r="D197" s="22"/>
    </row>
    <row r="198" spans="1:4" ht="16.2" thickBot="1" x14ac:dyDescent="0.35">
      <c r="A198" s="24" t="s">
        <v>115</v>
      </c>
      <c r="B198" s="25" t="s">
        <v>75</v>
      </c>
      <c r="C198" s="25">
        <v>3025</v>
      </c>
      <c r="D198" s="22"/>
    </row>
    <row r="199" spans="1:4" ht="16.2" thickBot="1" x14ac:dyDescent="0.35">
      <c r="A199" s="24" t="s">
        <v>85</v>
      </c>
      <c r="B199" s="25" t="s">
        <v>75</v>
      </c>
      <c r="C199" s="25">
        <v>442</v>
      </c>
      <c r="D199" s="22"/>
    </row>
    <row r="200" spans="1:4" ht="16.2" thickBot="1" x14ac:dyDescent="0.35">
      <c r="A200" s="24" t="s">
        <v>116</v>
      </c>
      <c r="B200" s="25" t="s">
        <v>75</v>
      </c>
      <c r="C200" s="25">
        <v>51.75</v>
      </c>
      <c r="D200" s="22"/>
    </row>
    <row r="201" spans="1:4" ht="16.2" thickBot="1" x14ac:dyDescent="0.35">
      <c r="A201" s="23" t="s">
        <v>100</v>
      </c>
      <c r="B201" s="22"/>
      <c r="C201" s="22"/>
      <c r="D201" s="22"/>
    </row>
    <row r="202" spans="1:4" ht="16.2" thickBot="1" x14ac:dyDescent="0.35">
      <c r="A202" s="24" t="s">
        <v>74</v>
      </c>
      <c r="B202" s="25" t="s">
        <v>75</v>
      </c>
      <c r="C202" s="25">
        <v>51584</v>
      </c>
      <c r="D202" s="22"/>
    </row>
    <row r="203" spans="1:4" ht="16.2" thickBot="1" x14ac:dyDescent="0.35">
      <c r="A203" s="24" t="s">
        <v>76</v>
      </c>
      <c r="B203" s="25" t="s">
        <v>75</v>
      </c>
      <c r="C203" s="25">
        <v>34934</v>
      </c>
      <c r="D203" s="22"/>
    </row>
    <row r="204" spans="1:4" ht="16.2" thickBot="1" x14ac:dyDescent="0.35">
      <c r="A204" s="24" t="s">
        <v>69</v>
      </c>
      <c r="B204" s="25" t="s">
        <v>75</v>
      </c>
      <c r="C204" s="25">
        <v>21540</v>
      </c>
      <c r="D204" s="22"/>
    </row>
    <row r="205" spans="1:4" ht="16.2" thickBot="1" x14ac:dyDescent="0.35">
      <c r="A205" s="24" t="s">
        <v>77</v>
      </c>
      <c r="B205" s="25" t="s">
        <v>75</v>
      </c>
      <c r="C205" s="25">
        <v>21540</v>
      </c>
      <c r="D205" s="22"/>
    </row>
    <row r="206" spans="1:4" ht="16.2" thickBot="1" x14ac:dyDescent="0.35">
      <c r="A206" s="24" t="s">
        <v>114</v>
      </c>
      <c r="B206" s="25" t="s">
        <v>75</v>
      </c>
      <c r="C206" s="25">
        <v>34934</v>
      </c>
      <c r="D206" s="22"/>
    </row>
    <row r="207" spans="1:4" ht="16.2" thickBot="1" x14ac:dyDescent="0.35">
      <c r="A207" s="24" t="s">
        <v>78</v>
      </c>
      <c r="B207" s="25" t="s">
        <v>75</v>
      </c>
      <c r="C207" s="25">
        <v>1886</v>
      </c>
      <c r="D207" s="22"/>
    </row>
    <row r="208" spans="1:4" ht="16.2" thickBot="1" x14ac:dyDescent="0.35">
      <c r="A208" s="24" t="s">
        <v>79</v>
      </c>
      <c r="B208" s="25" t="s">
        <v>75</v>
      </c>
      <c r="C208" s="25">
        <v>7785</v>
      </c>
      <c r="D208" s="22"/>
    </row>
    <row r="209" spans="1:4" ht="16.2" thickBot="1" x14ac:dyDescent="0.35">
      <c r="A209" s="24" t="s">
        <v>80</v>
      </c>
      <c r="B209" s="25" t="s">
        <v>75</v>
      </c>
      <c r="C209" s="25">
        <v>3723</v>
      </c>
      <c r="D209" s="22"/>
    </row>
    <row r="210" spans="1:4" ht="16.2" thickBot="1" x14ac:dyDescent="0.35">
      <c r="A210" s="24" t="s">
        <v>81</v>
      </c>
      <c r="B210" s="25" t="s">
        <v>75</v>
      </c>
      <c r="C210" s="25">
        <v>3723</v>
      </c>
      <c r="D210" s="22"/>
    </row>
    <row r="211" spans="1:4" ht="16.2" thickBot="1" x14ac:dyDescent="0.35">
      <c r="A211" s="23" t="s">
        <v>101</v>
      </c>
      <c r="B211" s="22"/>
      <c r="C211" s="22"/>
      <c r="D211" s="22"/>
    </row>
    <row r="212" spans="1:4" ht="16.2" thickBot="1" x14ac:dyDescent="0.35">
      <c r="A212" s="24" t="s">
        <v>74</v>
      </c>
      <c r="B212" s="25" t="s">
        <v>75</v>
      </c>
      <c r="C212" s="25">
        <v>452.77</v>
      </c>
      <c r="D212" s="22"/>
    </row>
    <row r="213" spans="1:4" ht="16.2" thickBot="1" x14ac:dyDescent="0.35">
      <c r="A213" s="24" t="s">
        <v>76</v>
      </c>
      <c r="B213" s="25" t="s">
        <v>75</v>
      </c>
      <c r="C213" s="25">
        <v>59.02</v>
      </c>
      <c r="D213" s="22"/>
    </row>
    <row r="214" spans="1:4" ht="16.2" thickBot="1" x14ac:dyDescent="0.35">
      <c r="A214" s="24" t="s">
        <v>69</v>
      </c>
      <c r="B214" s="25" t="s">
        <v>75</v>
      </c>
      <c r="C214" s="27" t="s">
        <v>195</v>
      </c>
      <c r="D214" s="22"/>
    </row>
    <row r="215" spans="1:4" ht="16.2" thickBot="1" x14ac:dyDescent="0.35">
      <c r="A215" s="24" t="s">
        <v>114</v>
      </c>
      <c r="B215" s="25" t="s">
        <v>75</v>
      </c>
      <c r="C215" s="25">
        <v>59.02</v>
      </c>
      <c r="D215" s="22"/>
    </row>
    <row r="216" spans="1:4" ht="16.2" thickBot="1" x14ac:dyDescent="0.35">
      <c r="A216" s="24" t="s">
        <v>85</v>
      </c>
      <c r="B216" s="25" t="s">
        <v>75</v>
      </c>
      <c r="C216" s="25">
        <v>342</v>
      </c>
      <c r="D216" s="22"/>
    </row>
    <row r="217" spans="1:4" ht="16.2" thickBot="1" x14ac:dyDescent="0.35">
      <c r="A217" s="24" t="s">
        <v>116</v>
      </c>
      <c r="B217" s="25" t="s">
        <v>75</v>
      </c>
      <c r="C217" s="25">
        <v>51.75</v>
      </c>
      <c r="D217" s="22"/>
    </row>
    <row r="218" spans="1:4" ht="16.2" thickBot="1" x14ac:dyDescent="0.35">
      <c r="A218" s="23" t="s">
        <v>102</v>
      </c>
      <c r="B218" s="22"/>
      <c r="C218" s="22"/>
      <c r="D218" s="22"/>
    </row>
    <row r="219" spans="1:4" ht="16.2" thickBot="1" x14ac:dyDescent="0.35">
      <c r="A219" s="24" t="s">
        <v>74</v>
      </c>
      <c r="B219" s="25" t="s">
        <v>75</v>
      </c>
      <c r="C219" s="25">
        <v>22480</v>
      </c>
      <c r="D219" s="22"/>
    </row>
    <row r="220" spans="1:4" ht="16.2" thickBot="1" x14ac:dyDescent="0.35">
      <c r="A220" s="24" t="s">
        <v>76</v>
      </c>
      <c r="B220" s="25" t="s">
        <v>75</v>
      </c>
      <c r="C220" s="25">
        <v>17185</v>
      </c>
      <c r="D220" s="22"/>
    </row>
    <row r="221" spans="1:4" ht="16.2" thickBot="1" x14ac:dyDescent="0.35">
      <c r="A221" s="24" t="s">
        <v>69</v>
      </c>
      <c r="B221" s="25" t="s">
        <v>75</v>
      </c>
      <c r="C221" s="25">
        <v>14132</v>
      </c>
      <c r="D221" s="22"/>
    </row>
    <row r="222" spans="1:4" ht="16.2" thickBot="1" x14ac:dyDescent="0.35">
      <c r="A222" s="24" t="s">
        <v>77</v>
      </c>
      <c r="B222" s="25" t="s">
        <v>75</v>
      </c>
      <c r="C222" s="25">
        <v>14132</v>
      </c>
      <c r="D222" s="22"/>
    </row>
    <row r="223" spans="1:4" ht="16.2" thickBot="1" x14ac:dyDescent="0.35">
      <c r="A223" s="24" t="s">
        <v>114</v>
      </c>
      <c r="B223" s="25" t="s">
        <v>75</v>
      </c>
      <c r="C223" s="25">
        <v>17185</v>
      </c>
      <c r="D223" s="22"/>
    </row>
    <row r="224" spans="1:4" ht="16.2" thickBot="1" x14ac:dyDescent="0.35">
      <c r="A224" s="24" t="s">
        <v>78</v>
      </c>
      <c r="B224" s="25" t="s">
        <v>75</v>
      </c>
      <c r="C224" s="25">
        <v>110</v>
      </c>
      <c r="D224" s="22"/>
    </row>
    <row r="225" spans="1:4" ht="16.2" thickBot="1" x14ac:dyDescent="0.35">
      <c r="A225" s="24" t="s">
        <v>79</v>
      </c>
      <c r="B225" s="25" t="s">
        <v>75</v>
      </c>
      <c r="C225" s="25">
        <v>1512</v>
      </c>
      <c r="D225" s="22"/>
    </row>
    <row r="226" spans="1:4" ht="16.2" thickBot="1" x14ac:dyDescent="0.35">
      <c r="A226" s="24" t="s">
        <v>80</v>
      </c>
      <c r="B226" s="25" t="s">
        <v>75</v>
      </c>
      <c r="C226" s="25">
        <v>1431</v>
      </c>
      <c r="D226" s="22"/>
    </row>
    <row r="227" spans="1:4" ht="16.2" thickBot="1" x14ac:dyDescent="0.35">
      <c r="A227" s="24" t="s">
        <v>81</v>
      </c>
      <c r="B227" s="25" t="s">
        <v>75</v>
      </c>
      <c r="C227" s="25">
        <v>1431</v>
      </c>
      <c r="D227" s="22"/>
    </row>
    <row r="228" spans="1:4" ht="16.2" thickBot="1" x14ac:dyDescent="0.35">
      <c r="A228" s="24" t="s">
        <v>85</v>
      </c>
      <c r="B228" s="25" t="s">
        <v>75</v>
      </c>
      <c r="C228" s="25">
        <v>100</v>
      </c>
      <c r="D228" s="22"/>
    </row>
    <row r="229" spans="1:4" ht="31.8" thickBot="1" x14ac:dyDescent="0.35">
      <c r="A229" s="21" t="s">
        <v>117</v>
      </c>
      <c r="B229" s="25" t="s">
        <v>65</v>
      </c>
      <c r="C229" s="25">
        <v>20491.27</v>
      </c>
      <c r="D229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68B5-91DD-4771-B066-5535610515DE}">
  <dimension ref="A1:F26"/>
  <sheetViews>
    <sheetView workbookViewId="0">
      <selection activeCell="F17" sqref="F17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1" x14ac:dyDescent="0.3">
      <c r="A1" s="7" t="s">
        <v>6</v>
      </c>
    </row>
    <row r="21" spans="1:6" x14ac:dyDescent="0.3">
      <c r="A21" s="4"/>
      <c r="B21" s="5"/>
      <c r="C21" s="5"/>
      <c r="D21" s="5"/>
      <c r="E21" s="3"/>
      <c r="F21" s="3"/>
    </row>
    <row r="22" spans="1:6" x14ac:dyDescent="0.3">
      <c r="A22" s="3"/>
      <c r="B22" s="5"/>
      <c r="C22" s="5"/>
      <c r="D22" s="3"/>
      <c r="E22" s="3"/>
      <c r="F22" s="3"/>
    </row>
    <row r="23" spans="1:6" x14ac:dyDescent="0.3">
      <c r="A23" s="3"/>
      <c r="B23" s="5"/>
      <c r="C23" s="5"/>
      <c r="D23" s="5"/>
      <c r="E23" s="3"/>
      <c r="F23" s="3"/>
    </row>
    <row r="24" spans="1:6" x14ac:dyDescent="0.3">
      <c r="A24" s="3"/>
      <c r="B24" s="3"/>
      <c r="C24" s="3"/>
      <c r="D24" s="3"/>
      <c r="E24" s="3"/>
      <c r="F24" s="3"/>
    </row>
    <row r="25" spans="1:6" x14ac:dyDescent="0.3">
      <c r="A25" s="4"/>
      <c r="B25" s="5"/>
      <c r="C25" s="5"/>
      <c r="D25" s="5"/>
      <c r="E25" s="3"/>
      <c r="F25" s="3"/>
    </row>
    <row r="26" spans="1:6" x14ac:dyDescent="0.3">
      <c r="A26" s="3"/>
      <c r="B26" s="5"/>
      <c r="C26" s="5"/>
      <c r="D26" s="5"/>
      <c r="E26" s="3"/>
      <c r="F26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DA3F-F0AD-4CED-A960-B935D9C5B5FA}">
  <dimension ref="A1:F60"/>
  <sheetViews>
    <sheetView workbookViewId="0">
      <selection activeCell="F17" sqref="F17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1" x14ac:dyDescent="0.3">
      <c r="A1" s="7" t="s">
        <v>7</v>
      </c>
    </row>
    <row r="30" spans="1:6" x14ac:dyDescent="0.3">
      <c r="A30" s="4"/>
      <c r="B30" s="5"/>
      <c r="C30" s="3"/>
      <c r="D30" s="5"/>
      <c r="E30" s="3"/>
      <c r="F30" s="3"/>
    </row>
    <row r="31" spans="1:6" x14ac:dyDescent="0.3">
      <c r="A31" s="4"/>
      <c r="B31" s="5"/>
      <c r="C31" s="5"/>
      <c r="D31" s="5"/>
      <c r="E31" s="3"/>
      <c r="F31" s="3"/>
    </row>
    <row r="32" spans="1:6" x14ac:dyDescent="0.3">
      <c r="A32" s="4"/>
      <c r="B32" s="5"/>
      <c r="C32" s="5"/>
      <c r="D32" s="5"/>
      <c r="E32" s="3"/>
      <c r="F32" s="3"/>
    </row>
    <row r="33" spans="1:6" x14ac:dyDescent="0.3">
      <c r="A33" s="4"/>
      <c r="B33" s="5"/>
      <c r="C33" s="5"/>
      <c r="D33" s="3"/>
      <c r="E33" s="3"/>
      <c r="F33" s="3"/>
    </row>
    <row r="34" spans="1:6" x14ac:dyDescent="0.3">
      <c r="A34" s="4"/>
      <c r="B34" s="5"/>
      <c r="C34" s="5"/>
      <c r="D34" s="5"/>
      <c r="E34" s="3"/>
      <c r="F34" s="3"/>
    </row>
    <row r="35" spans="1:6" x14ac:dyDescent="0.3">
      <c r="A35" s="4"/>
      <c r="B35" s="5"/>
      <c r="C35" s="5"/>
      <c r="D35" s="5"/>
      <c r="E35" s="3"/>
      <c r="F35" s="3"/>
    </row>
    <row r="36" spans="1:6" x14ac:dyDescent="0.3">
      <c r="A36" s="9"/>
    </row>
    <row r="37" spans="1:6" x14ac:dyDescent="0.3">
      <c r="A37" s="9"/>
    </row>
    <row r="38" spans="1:6" x14ac:dyDescent="0.3">
      <c r="A38" s="9"/>
    </row>
    <row r="39" spans="1:6" x14ac:dyDescent="0.3">
      <c r="A39" s="9"/>
    </row>
    <row r="40" spans="1:6" x14ac:dyDescent="0.3">
      <c r="A40" s="9"/>
    </row>
    <row r="41" spans="1:6" x14ac:dyDescent="0.3">
      <c r="A41" s="9"/>
    </row>
    <row r="42" spans="1:6" x14ac:dyDescent="0.3">
      <c r="A42" s="9"/>
    </row>
    <row r="43" spans="1:6" x14ac:dyDescent="0.3">
      <c r="A43" s="9"/>
    </row>
    <row r="44" spans="1:6" x14ac:dyDescent="0.3">
      <c r="A44" s="9"/>
    </row>
    <row r="45" spans="1:6" x14ac:dyDescent="0.3">
      <c r="A45" s="9"/>
    </row>
    <row r="46" spans="1:6" x14ac:dyDescent="0.3">
      <c r="A46" s="9"/>
    </row>
    <row r="47" spans="1:6" x14ac:dyDescent="0.3">
      <c r="A47" s="9"/>
    </row>
    <row r="48" spans="1:6" x14ac:dyDescent="0.3">
      <c r="A48" s="9"/>
    </row>
    <row r="49" spans="1:1" x14ac:dyDescent="0.3">
      <c r="A49" s="9"/>
    </row>
    <row r="50" spans="1:1" x14ac:dyDescent="0.3">
      <c r="A50" s="9"/>
    </row>
    <row r="51" spans="1:1" x14ac:dyDescent="0.3">
      <c r="A51" s="9"/>
    </row>
    <row r="52" spans="1:1" x14ac:dyDescent="0.3">
      <c r="A52" s="9"/>
    </row>
    <row r="53" spans="1:1" x14ac:dyDescent="0.3">
      <c r="A53" s="9"/>
    </row>
    <row r="54" spans="1:1" x14ac:dyDescent="0.3">
      <c r="A54" s="9"/>
    </row>
    <row r="55" spans="1:1" x14ac:dyDescent="0.3">
      <c r="A55" s="9"/>
    </row>
    <row r="56" spans="1:1" x14ac:dyDescent="0.3">
      <c r="A56" s="9"/>
    </row>
    <row r="57" spans="1:1" x14ac:dyDescent="0.3">
      <c r="A57" s="9"/>
    </row>
    <row r="58" spans="1:1" x14ac:dyDescent="0.3">
      <c r="A58" s="9"/>
    </row>
    <row r="59" spans="1:1" x14ac:dyDescent="0.3">
      <c r="A59" s="9"/>
    </row>
    <row r="60" spans="1:1" x14ac:dyDescent="0.3">
      <c r="A60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F852-650D-4FD5-A173-9BD7F3E6A478}">
  <dimension ref="A1:D10"/>
  <sheetViews>
    <sheetView workbookViewId="0">
      <selection activeCell="F17" sqref="F17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4" ht="15" thickBot="1" x14ac:dyDescent="0.35">
      <c r="A1" s="7" t="s">
        <v>8</v>
      </c>
    </row>
    <row r="2" spans="1:4" ht="16.2" thickBot="1" x14ac:dyDescent="0.35">
      <c r="A2" s="19" t="s">
        <v>29</v>
      </c>
      <c r="B2" s="20" t="s">
        <v>173</v>
      </c>
      <c r="C2" s="20">
        <v>2025</v>
      </c>
      <c r="D2" s="20">
        <v>2026</v>
      </c>
    </row>
    <row r="3" spans="1:4" ht="31.8" thickBot="1" x14ac:dyDescent="0.35">
      <c r="A3" s="21" t="s">
        <v>118</v>
      </c>
      <c r="B3" s="22"/>
      <c r="C3" s="22"/>
      <c r="D3" s="22"/>
    </row>
    <row r="4" spans="1:4" ht="16.2" thickBot="1" x14ac:dyDescent="0.35">
      <c r="A4" s="23" t="s">
        <v>31</v>
      </c>
      <c r="B4" s="25" t="s">
        <v>41</v>
      </c>
      <c r="C4" s="25">
        <v>109</v>
      </c>
      <c r="D4" s="22"/>
    </row>
    <row r="5" spans="1:4" ht="31.8" thickBot="1" x14ac:dyDescent="0.35">
      <c r="A5" s="21" t="s">
        <v>119</v>
      </c>
      <c r="B5" s="22"/>
      <c r="C5" s="22"/>
      <c r="D5" s="22"/>
    </row>
    <row r="6" spans="1:4" ht="16.2" thickBot="1" x14ac:dyDescent="0.35">
      <c r="A6" s="23" t="s">
        <v>31</v>
      </c>
      <c r="B6" s="25" t="s">
        <v>32</v>
      </c>
      <c r="C6" s="25">
        <v>482.3</v>
      </c>
      <c r="D6" s="22"/>
    </row>
    <row r="7" spans="1:4" ht="31.8" thickBot="1" x14ac:dyDescent="0.35">
      <c r="A7" s="21" t="s">
        <v>120</v>
      </c>
      <c r="B7" s="22"/>
      <c r="C7" s="22"/>
      <c r="D7" s="22"/>
    </row>
    <row r="8" spans="1:4" ht="16.2" thickBot="1" x14ac:dyDescent="0.35">
      <c r="A8" s="23" t="s">
        <v>31</v>
      </c>
      <c r="B8" s="25" t="s">
        <v>41</v>
      </c>
      <c r="C8" s="25">
        <v>4980</v>
      </c>
      <c r="D8" s="22"/>
    </row>
    <row r="9" spans="1:4" ht="31.8" thickBot="1" x14ac:dyDescent="0.35">
      <c r="A9" s="21" t="s">
        <v>121</v>
      </c>
      <c r="B9" s="22"/>
      <c r="C9" s="22"/>
      <c r="D9" s="22"/>
    </row>
    <row r="10" spans="1:4" ht="16.2" thickBot="1" x14ac:dyDescent="0.35">
      <c r="A10" s="23" t="s">
        <v>31</v>
      </c>
      <c r="B10" s="25" t="s">
        <v>32</v>
      </c>
      <c r="C10" s="25">
        <v>22354.3</v>
      </c>
      <c r="D10" s="2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70B5-0E87-429B-B550-FB93598D865C}">
  <dimension ref="A1:F171"/>
  <sheetViews>
    <sheetView workbookViewId="0">
      <selection activeCell="F17" sqref="F17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1" x14ac:dyDescent="0.3">
      <c r="A1" s="7" t="s">
        <v>9</v>
      </c>
    </row>
    <row r="170" spans="1:6" x14ac:dyDescent="0.3">
      <c r="A170" s="4"/>
      <c r="B170" s="5"/>
      <c r="C170" s="3"/>
      <c r="D170" s="5"/>
      <c r="E170" s="3"/>
      <c r="F170" s="3"/>
    </row>
    <row r="171" spans="1:6" x14ac:dyDescent="0.3">
      <c r="A171" s="4"/>
      <c r="B171" s="5"/>
      <c r="C171" s="5"/>
      <c r="D171" s="5"/>
      <c r="E171" s="3"/>
      <c r="F171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CA62-FA3F-419E-9BB7-E9294384A2EC}">
  <dimension ref="A1:F10"/>
  <sheetViews>
    <sheetView workbookViewId="0">
      <selection activeCell="F17" sqref="F17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x14ac:dyDescent="0.3">
      <c r="A1" s="7" t="s">
        <v>10</v>
      </c>
    </row>
    <row r="4" spans="1:6" x14ac:dyDescent="0.3">
      <c r="A4" s="3"/>
      <c r="B4" s="5"/>
      <c r="C4" s="5"/>
      <c r="D4" s="5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4"/>
      <c r="B6" s="5"/>
      <c r="C6" s="5"/>
      <c r="D6" s="5"/>
      <c r="E6" s="3"/>
      <c r="F6" s="3"/>
    </row>
    <row r="7" spans="1:6" x14ac:dyDescent="0.3">
      <c r="A7" s="3"/>
      <c r="B7" s="3"/>
      <c r="C7" s="3"/>
      <c r="D7" s="3"/>
      <c r="E7" s="3"/>
      <c r="F7" s="3"/>
    </row>
    <row r="8" spans="1:6" x14ac:dyDescent="0.3">
      <c r="A8" s="4"/>
      <c r="B8" s="5"/>
      <c r="C8" s="5"/>
      <c r="D8" s="5"/>
      <c r="E8" s="3"/>
      <c r="F8" s="3"/>
    </row>
    <row r="9" spans="1:6" x14ac:dyDescent="0.3">
      <c r="A9" s="3"/>
      <c r="B9" s="3"/>
      <c r="C9" s="3"/>
      <c r="D9" s="3"/>
      <c r="E9" s="3"/>
      <c r="F9" s="3"/>
    </row>
    <row r="10" spans="1:6" x14ac:dyDescent="0.3">
      <c r="A10" s="4"/>
      <c r="B10" s="5"/>
      <c r="C10" s="5"/>
      <c r="D10" s="5"/>
      <c r="E10" s="3"/>
      <c r="F10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9AAF-CED3-4660-A5FC-146EE5E9F7BE}">
  <dimension ref="A1"/>
  <sheetViews>
    <sheetView workbookViewId="0">
      <selection activeCell="F17" sqref="F17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1" x14ac:dyDescent="0.3">
      <c r="A1" s="7" t="s">
        <v>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026-7E35-47AA-AC6C-6E6973BADC2C}">
  <dimension ref="A1:D7"/>
  <sheetViews>
    <sheetView workbookViewId="0">
      <selection activeCell="F17" sqref="F17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4" ht="15" thickBot="1" x14ac:dyDescent="0.35">
      <c r="A1" s="7" t="s">
        <v>12</v>
      </c>
    </row>
    <row r="2" spans="1:4" ht="16.2" thickBot="1" x14ac:dyDescent="0.35">
      <c r="A2" s="19" t="s">
        <v>29</v>
      </c>
      <c r="B2" s="20" t="s">
        <v>173</v>
      </c>
      <c r="C2" s="20">
        <v>2025</v>
      </c>
      <c r="D2" s="20">
        <v>2026</v>
      </c>
    </row>
    <row r="3" spans="1:4" ht="16.2" thickBot="1" x14ac:dyDescent="0.35">
      <c r="A3" s="21" t="s">
        <v>122</v>
      </c>
      <c r="B3" s="22"/>
      <c r="C3" s="22"/>
      <c r="D3" s="22"/>
    </row>
    <row r="4" spans="1:4" ht="16.2" thickBot="1" x14ac:dyDescent="0.35">
      <c r="A4" s="23" t="s">
        <v>123</v>
      </c>
      <c r="B4" s="22"/>
      <c r="C4" s="22"/>
      <c r="D4" s="22"/>
    </row>
    <row r="5" spans="1:4" ht="16.2" thickBot="1" x14ac:dyDescent="0.35">
      <c r="A5" s="24" t="s">
        <v>124</v>
      </c>
      <c r="B5" s="25" t="s">
        <v>125</v>
      </c>
      <c r="C5" s="25">
        <v>23438</v>
      </c>
      <c r="D5" s="22"/>
    </row>
    <row r="6" spans="1:4" ht="16.2" thickBot="1" x14ac:dyDescent="0.35">
      <c r="A6" s="23" t="s">
        <v>126</v>
      </c>
      <c r="B6" s="22"/>
      <c r="C6" s="22"/>
      <c r="D6" s="22"/>
    </row>
    <row r="7" spans="1:4" ht="16.2" thickBot="1" x14ac:dyDescent="0.35">
      <c r="A7" s="24" t="s">
        <v>124</v>
      </c>
      <c r="B7" s="25" t="s">
        <v>125</v>
      </c>
      <c r="C7" s="25">
        <v>23438</v>
      </c>
      <c r="D7" s="2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4530-05A5-4F83-80C3-7ECD71682C1F}">
  <dimension ref="A1:F228"/>
  <sheetViews>
    <sheetView workbookViewId="0">
      <selection activeCell="F17" sqref="F17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4" ht="15" thickBot="1" x14ac:dyDescent="0.35">
      <c r="A1" s="7" t="s">
        <v>13</v>
      </c>
    </row>
    <row r="2" spans="1:4" ht="16.2" thickBot="1" x14ac:dyDescent="0.35">
      <c r="A2" s="19" t="s">
        <v>29</v>
      </c>
      <c r="B2" s="20" t="s">
        <v>173</v>
      </c>
      <c r="C2" s="20">
        <v>2025</v>
      </c>
      <c r="D2" s="20">
        <v>2026</v>
      </c>
    </row>
    <row r="3" spans="1:4" ht="31.8" thickBot="1" x14ac:dyDescent="0.35">
      <c r="A3" s="21" t="s">
        <v>176</v>
      </c>
      <c r="B3" s="22"/>
      <c r="C3" s="22"/>
      <c r="D3" s="22"/>
    </row>
    <row r="4" spans="1:4" ht="16.2" thickBot="1" x14ac:dyDescent="0.35">
      <c r="A4" s="23" t="s">
        <v>30</v>
      </c>
      <c r="B4" s="22"/>
      <c r="C4" s="22"/>
      <c r="D4" s="22"/>
    </row>
    <row r="5" spans="1:4" ht="16.2" thickBot="1" x14ac:dyDescent="0.35">
      <c r="A5" s="24" t="s">
        <v>31</v>
      </c>
      <c r="B5" s="25" t="s">
        <v>125</v>
      </c>
      <c r="C5" s="25">
        <v>4343</v>
      </c>
      <c r="D5" s="22"/>
    </row>
    <row r="6" spans="1:4" ht="16.2" thickBot="1" x14ac:dyDescent="0.35">
      <c r="A6" s="24" t="s">
        <v>33</v>
      </c>
      <c r="B6" s="25" t="s">
        <v>125</v>
      </c>
      <c r="C6" s="25">
        <v>4367</v>
      </c>
      <c r="D6" s="22"/>
    </row>
    <row r="7" spans="1:4" ht="16.2" thickBot="1" x14ac:dyDescent="0.35">
      <c r="A7" s="24" t="s">
        <v>34</v>
      </c>
      <c r="B7" s="25" t="s">
        <v>125</v>
      </c>
      <c r="C7" s="25">
        <v>4369</v>
      </c>
      <c r="D7" s="22"/>
    </row>
    <row r="8" spans="1:4" ht="16.2" thickBot="1" x14ac:dyDescent="0.35">
      <c r="A8" s="24" t="s">
        <v>35</v>
      </c>
      <c r="B8" s="25" t="s">
        <v>125</v>
      </c>
      <c r="C8" s="25">
        <v>4353</v>
      </c>
      <c r="D8" s="22"/>
    </row>
    <row r="9" spans="1:4" ht="16.2" thickBot="1" x14ac:dyDescent="0.35">
      <c r="A9" s="23" t="s">
        <v>127</v>
      </c>
      <c r="B9" s="22"/>
      <c r="C9" s="22"/>
      <c r="D9" s="22"/>
    </row>
    <row r="10" spans="1:4" ht="16.2" thickBot="1" x14ac:dyDescent="0.35">
      <c r="A10" s="24" t="s">
        <v>31</v>
      </c>
      <c r="B10" s="25" t="s">
        <v>125</v>
      </c>
      <c r="C10" s="25">
        <v>1446</v>
      </c>
      <c r="D10" s="22"/>
    </row>
    <row r="11" spans="1:4" ht="16.2" thickBot="1" x14ac:dyDescent="0.35">
      <c r="A11" s="24" t="s">
        <v>33</v>
      </c>
      <c r="B11" s="25" t="s">
        <v>125</v>
      </c>
      <c r="C11" s="25">
        <v>1464</v>
      </c>
      <c r="D11" s="22"/>
    </row>
    <row r="12" spans="1:4" ht="16.2" thickBot="1" x14ac:dyDescent="0.35">
      <c r="A12" s="24" t="s">
        <v>34</v>
      </c>
      <c r="B12" s="25" t="s">
        <v>125</v>
      </c>
      <c r="C12" s="25">
        <v>1456</v>
      </c>
      <c r="D12" s="22"/>
    </row>
    <row r="13" spans="1:4" ht="16.2" thickBot="1" x14ac:dyDescent="0.35">
      <c r="A13" s="24" t="s">
        <v>35</v>
      </c>
      <c r="B13" s="25" t="s">
        <v>125</v>
      </c>
      <c r="C13" s="25">
        <v>1444</v>
      </c>
      <c r="D13" s="22"/>
    </row>
    <row r="14" spans="1:4" ht="16.2" thickBot="1" x14ac:dyDescent="0.35">
      <c r="A14" s="23" t="s">
        <v>128</v>
      </c>
      <c r="B14" s="22"/>
      <c r="C14" s="22"/>
      <c r="D14" s="22"/>
    </row>
    <row r="15" spans="1:4" ht="16.2" thickBot="1" x14ac:dyDescent="0.35">
      <c r="A15" s="24" t="s">
        <v>31</v>
      </c>
      <c r="B15" s="25" t="s">
        <v>125</v>
      </c>
      <c r="C15" s="25">
        <v>120</v>
      </c>
      <c r="D15" s="22"/>
    </row>
    <row r="16" spans="1:4" ht="16.2" thickBot="1" x14ac:dyDescent="0.35">
      <c r="A16" s="24" t="s">
        <v>33</v>
      </c>
      <c r="B16" s="25" t="s">
        <v>125</v>
      </c>
      <c r="C16" s="25">
        <v>119</v>
      </c>
      <c r="D16" s="22"/>
    </row>
    <row r="17" spans="1:4" ht="16.2" thickBot="1" x14ac:dyDescent="0.35">
      <c r="A17" s="24" t="s">
        <v>34</v>
      </c>
      <c r="B17" s="25" t="s">
        <v>125</v>
      </c>
      <c r="C17" s="25">
        <v>119</v>
      </c>
      <c r="D17" s="22"/>
    </row>
    <row r="18" spans="1:4" ht="16.2" thickBot="1" x14ac:dyDescent="0.35">
      <c r="A18" s="24" t="s">
        <v>35</v>
      </c>
      <c r="B18" s="25" t="s">
        <v>125</v>
      </c>
      <c r="C18" s="25">
        <v>120</v>
      </c>
      <c r="D18" s="22"/>
    </row>
    <row r="19" spans="1:4" ht="16.2" thickBot="1" x14ac:dyDescent="0.35">
      <c r="A19" s="23" t="s">
        <v>129</v>
      </c>
      <c r="B19" s="22"/>
      <c r="C19" s="22"/>
      <c r="D19" s="22"/>
    </row>
    <row r="20" spans="1:4" ht="16.2" thickBot="1" x14ac:dyDescent="0.35">
      <c r="A20" s="24" t="s">
        <v>31</v>
      </c>
      <c r="B20" s="25" t="s">
        <v>125</v>
      </c>
      <c r="C20" s="25">
        <v>229</v>
      </c>
      <c r="D20" s="22"/>
    </row>
    <row r="21" spans="1:4" ht="16.2" thickBot="1" x14ac:dyDescent="0.35">
      <c r="A21" s="24" t="s">
        <v>33</v>
      </c>
      <c r="B21" s="25" t="s">
        <v>125</v>
      </c>
      <c r="C21" s="25">
        <v>233</v>
      </c>
      <c r="D21" s="22"/>
    </row>
    <row r="22" spans="1:4" ht="16.2" thickBot="1" x14ac:dyDescent="0.35">
      <c r="A22" s="24" t="s">
        <v>34</v>
      </c>
      <c r="B22" s="25" t="s">
        <v>125</v>
      </c>
      <c r="C22" s="25">
        <v>234</v>
      </c>
      <c r="D22" s="22"/>
    </row>
    <row r="23" spans="1:4" ht="16.2" thickBot="1" x14ac:dyDescent="0.35">
      <c r="A23" s="24" t="s">
        <v>35</v>
      </c>
      <c r="B23" s="25" t="s">
        <v>125</v>
      </c>
      <c r="C23" s="25">
        <v>230</v>
      </c>
      <c r="D23" s="22"/>
    </row>
    <row r="24" spans="1:4" ht="16.2" thickBot="1" x14ac:dyDescent="0.35">
      <c r="A24" s="23" t="s">
        <v>130</v>
      </c>
      <c r="B24" s="22"/>
      <c r="C24" s="22"/>
      <c r="D24" s="22"/>
    </row>
    <row r="25" spans="1:4" ht="16.2" thickBot="1" x14ac:dyDescent="0.35">
      <c r="A25" s="24" t="s">
        <v>31</v>
      </c>
      <c r="B25" s="25" t="s">
        <v>125</v>
      </c>
      <c r="C25" s="25">
        <v>425</v>
      </c>
      <c r="D25" s="22"/>
    </row>
    <row r="26" spans="1:4" ht="16.2" thickBot="1" x14ac:dyDescent="0.35">
      <c r="A26" s="24" t="s">
        <v>33</v>
      </c>
      <c r="B26" s="25" t="s">
        <v>125</v>
      </c>
      <c r="C26" s="25">
        <v>415</v>
      </c>
      <c r="D26" s="22"/>
    </row>
    <row r="27" spans="1:4" ht="16.2" thickBot="1" x14ac:dyDescent="0.35">
      <c r="A27" s="24" t="s">
        <v>34</v>
      </c>
      <c r="B27" s="25" t="s">
        <v>125</v>
      </c>
      <c r="C27" s="25">
        <v>409</v>
      </c>
      <c r="D27" s="22"/>
    </row>
    <row r="28" spans="1:4" ht="16.2" thickBot="1" x14ac:dyDescent="0.35">
      <c r="A28" s="24" t="s">
        <v>35</v>
      </c>
      <c r="B28" s="25" t="s">
        <v>125</v>
      </c>
      <c r="C28" s="25">
        <v>404</v>
      </c>
      <c r="D28" s="22"/>
    </row>
    <row r="29" spans="1:4" ht="16.2" thickBot="1" x14ac:dyDescent="0.35">
      <c r="A29" s="23" t="s">
        <v>131</v>
      </c>
      <c r="B29" s="22"/>
      <c r="C29" s="22"/>
      <c r="D29" s="22"/>
    </row>
    <row r="30" spans="1:4" ht="16.2" thickBot="1" x14ac:dyDescent="0.35">
      <c r="A30" s="24" t="s">
        <v>31</v>
      </c>
      <c r="B30" s="25" t="s">
        <v>125</v>
      </c>
      <c r="C30" s="25">
        <v>17</v>
      </c>
      <c r="D30" s="22"/>
    </row>
    <row r="31" spans="1:4" ht="16.2" thickBot="1" x14ac:dyDescent="0.35">
      <c r="A31" s="24" t="s">
        <v>33</v>
      </c>
      <c r="B31" s="25" t="s">
        <v>125</v>
      </c>
      <c r="C31" s="25">
        <v>17</v>
      </c>
      <c r="D31" s="22"/>
    </row>
    <row r="32" spans="1:4" ht="16.2" thickBot="1" x14ac:dyDescent="0.35">
      <c r="A32" s="24" t="s">
        <v>34</v>
      </c>
      <c r="B32" s="25" t="s">
        <v>125</v>
      </c>
      <c r="C32" s="25">
        <v>17</v>
      </c>
      <c r="D32" s="22"/>
    </row>
    <row r="33" spans="1:4" ht="16.2" thickBot="1" x14ac:dyDescent="0.35">
      <c r="A33" s="24" t="s">
        <v>35</v>
      </c>
      <c r="B33" s="25" t="s">
        <v>125</v>
      </c>
      <c r="C33" s="25">
        <v>17</v>
      </c>
      <c r="D33" s="22"/>
    </row>
    <row r="34" spans="1:4" ht="16.2" thickBot="1" x14ac:dyDescent="0.35">
      <c r="A34" s="23" t="s">
        <v>132</v>
      </c>
      <c r="B34" s="22"/>
      <c r="C34" s="22"/>
      <c r="D34" s="22"/>
    </row>
    <row r="35" spans="1:4" ht="16.2" thickBot="1" x14ac:dyDescent="0.35">
      <c r="A35" s="24" t="s">
        <v>31</v>
      </c>
      <c r="B35" s="25" t="s">
        <v>125</v>
      </c>
      <c r="C35" s="25">
        <v>61</v>
      </c>
      <c r="D35" s="22"/>
    </row>
    <row r="36" spans="1:4" ht="16.2" thickBot="1" x14ac:dyDescent="0.35">
      <c r="A36" s="24" t="s">
        <v>33</v>
      </c>
      <c r="B36" s="25" t="s">
        <v>125</v>
      </c>
      <c r="C36" s="25">
        <v>61</v>
      </c>
      <c r="D36" s="22"/>
    </row>
    <row r="37" spans="1:4" ht="16.2" thickBot="1" x14ac:dyDescent="0.35">
      <c r="A37" s="24" t="s">
        <v>34</v>
      </c>
      <c r="B37" s="25" t="s">
        <v>125</v>
      </c>
      <c r="C37" s="25">
        <v>60</v>
      </c>
      <c r="D37" s="22"/>
    </row>
    <row r="38" spans="1:4" ht="16.2" thickBot="1" x14ac:dyDescent="0.35">
      <c r="A38" s="24" t="s">
        <v>35</v>
      </c>
      <c r="B38" s="25" t="s">
        <v>125</v>
      </c>
      <c r="C38" s="25">
        <v>59</v>
      </c>
      <c r="D38" s="22"/>
    </row>
    <row r="39" spans="1:4" ht="31.8" thickBot="1" x14ac:dyDescent="0.35">
      <c r="A39" s="23" t="s">
        <v>133</v>
      </c>
      <c r="B39" s="22"/>
      <c r="C39" s="22"/>
      <c r="D39" s="22"/>
    </row>
    <row r="40" spans="1:4" ht="16.2" thickBot="1" x14ac:dyDescent="0.35">
      <c r="A40" s="24" t="s">
        <v>31</v>
      </c>
      <c r="B40" s="25" t="s">
        <v>125</v>
      </c>
      <c r="C40" s="25">
        <v>478</v>
      </c>
      <c r="D40" s="22"/>
    </row>
    <row r="41" spans="1:4" ht="16.2" thickBot="1" x14ac:dyDescent="0.35">
      <c r="A41" s="24" t="s">
        <v>33</v>
      </c>
      <c r="B41" s="25" t="s">
        <v>125</v>
      </c>
      <c r="C41" s="25">
        <v>476</v>
      </c>
      <c r="D41" s="22"/>
    </row>
    <row r="42" spans="1:4" ht="16.2" thickBot="1" x14ac:dyDescent="0.35">
      <c r="A42" s="24" t="s">
        <v>34</v>
      </c>
      <c r="B42" s="25" t="s">
        <v>125</v>
      </c>
      <c r="C42" s="25">
        <v>474</v>
      </c>
      <c r="D42" s="22"/>
    </row>
    <row r="43" spans="1:4" ht="16.2" thickBot="1" x14ac:dyDescent="0.35">
      <c r="A43" s="24" t="s">
        <v>35</v>
      </c>
      <c r="B43" s="25" t="s">
        <v>125</v>
      </c>
      <c r="C43" s="25">
        <v>475</v>
      </c>
      <c r="D43" s="22"/>
    </row>
    <row r="44" spans="1:4" ht="16.2" thickBot="1" x14ac:dyDescent="0.35">
      <c r="A44" s="23" t="s">
        <v>134</v>
      </c>
      <c r="B44" s="22"/>
      <c r="C44" s="22"/>
      <c r="D44" s="22"/>
    </row>
    <row r="45" spans="1:4" ht="16.2" thickBot="1" x14ac:dyDescent="0.35">
      <c r="A45" s="24" t="s">
        <v>31</v>
      </c>
      <c r="B45" s="25" t="s">
        <v>125</v>
      </c>
      <c r="C45" s="25">
        <v>873</v>
      </c>
      <c r="D45" s="22"/>
    </row>
    <row r="46" spans="1:4" ht="16.2" thickBot="1" x14ac:dyDescent="0.35">
      <c r="A46" s="24" t="s">
        <v>33</v>
      </c>
      <c r="B46" s="25" t="s">
        <v>125</v>
      </c>
      <c r="C46" s="25">
        <v>882</v>
      </c>
      <c r="D46" s="22"/>
    </row>
    <row r="47" spans="1:4" ht="16.2" thickBot="1" x14ac:dyDescent="0.35">
      <c r="A47" s="24" t="s">
        <v>34</v>
      </c>
      <c r="B47" s="25" t="s">
        <v>125</v>
      </c>
      <c r="C47" s="25">
        <v>885</v>
      </c>
      <c r="D47" s="22"/>
    </row>
    <row r="48" spans="1:4" ht="16.2" thickBot="1" x14ac:dyDescent="0.35">
      <c r="A48" s="24" t="s">
        <v>35</v>
      </c>
      <c r="B48" s="25" t="s">
        <v>125</v>
      </c>
      <c r="C48" s="25">
        <v>880</v>
      </c>
      <c r="D48" s="22"/>
    </row>
    <row r="49" spans="1:4" ht="16.2" thickBot="1" x14ac:dyDescent="0.35">
      <c r="A49" s="23" t="s">
        <v>135</v>
      </c>
      <c r="B49" s="22"/>
      <c r="C49" s="22"/>
      <c r="D49" s="22"/>
    </row>
    <row r="50" spans="1:4" ht="16.2" thickBot="1" x14ac:dyDescent="0.35">
      <c r="A50" s="24" t="s">
        <v>31</v>
      </c>
      <c r="B50" s="25" t="s">
        <v>125</v>
      </c>
      <c r="C50" s="25">
        <v>516</v>
      </c>
      <c r="D50" s="22"/>
    </row>
    <row r="51" spans="1:4" ht="16.2" thickBot="1" x14ac:dyDescent="0.35">
      <c r="A51" s="24" t="s">
        <v>33</v>
      </c>
      <c r="B51" s="25" t="s">
        <v>125</v>
      </c>
      <c r="C51" s="25">
        <v>515</v>
      </c>
      <c r="D51" s="22"/>
    </row>
    <row r="52" spans="1:4" ht="16.2" thickBot="1" x14ac:dyDescent="0.35">
      <c r="A52" s="24" t="s">
        <v>34</v>
      </c>
      <c r="B52" s="25" t="s">
        <v>125</v>
      </c>
      <c r="C52" s="25">
        <v>511</v>
      </c>
      <c r="D52" s="22"/>
    </row>
    <row r="53" spans="1:4" ht="16.2" thickBot="1" x14ac:dyDescent="0.35">
      <c r="A53" s="24" t="s">
        <v>35</v>
      </c>
      <c r="B53" s="25" t="s">
        <v>125</v>
      </c>
      <c r="C53" s="25">
        <v>510</v>
      </c>
      <c r="D53" s="22"/>
    </row>
    <row r="54" spans="1:4" ht="31.8" thickBot="1" x14ac:dyDescent="0.35">
      <c r="A54" s="21" t="s">
        <v>177</v>
      </c>
      <c r="B54" s="22"/>
      <c r="C54" s="22"/>
      <c r="D54" s="22"/>
    </row>
    <row r="55" spans="1:4" ht="16.2" thickBot="1" x14ac:dyDescent="0.35">
      <c r="A55" s="23" t="s">
        <v>30</v>
      </c>
      <c r="B55" s="22"/>
      <c r="C55" s="22"/>
      <c r="D55" s="22"/>
    </row>
    <row r="56" spans="1:4" ht="16.2" thickBot="1" x14ac:dyDescent="0.35">
      <c r="A56" s="24" t="s">
        <v>31</v>
      </c>
      <c r="B56" s="25" t="s">
        <v>32</v>
      </c>
      <c r="C56" s="25">
        <v>847473.9</v>
      </c>
      <c r="D56" s="22"/>
    </row>
    <row r="57" spans="1:4" ht="16.2" thickBot="1" x14ac:dyDescent="0.35">
      <c r="A57" s="24" t="s">
        <v>33</v>
      </c>
      <c r="B57" s="25" t="s">
        <v>32</v>
      </c>
      <c r="C57" s="25">
        <v>1747657.8</v>
      </c>
      <c r="D57" s="22"/>
    </row>
    <row r="58" spans="1:4" ht="16.2" thickBot="1" x14ac:dyDescent="0.35">
      <c r="A58" s="24" t="s">
        <v>34</v>
      </c>
      <c r="B58" s="25" t="s">
        <v>32</v>
      </c>
      <c r="C58" s="25">
        <v>2636830</v>
      </c>
      <c r="D58" s="22"/>
    </row>
    <row r="59" spans="1:4" ht="16.2" thickBot="1" x14ac:dyDescent="0.35">
      <c r="A59" s="24" t="s">
        <v>35</v>
      </c>
      <c r="B59" s="25" t="s">
        <v>32</v>
      </c>
      <c r="C59" s="25">
        <v>3598342.7</v>
      </c>
      <c r="D59" s="22"/>
    </row>
    <row r="60" spans="1:4" ht="16.2" thickBot="1" x14ac:dyDescent="0.35">
      <c r="A60" s="23" t="s">
        <v>127</v>
      </c>
      <c r="B60" s="22"/>
      <c r="C60" s="22"/>
      <c r="D60" s="22"/>
    </row>
    <row r="61" spans="1:4" ht="16.2" thickBot="1" x14ac:dyDescent="0.35">
      <c r="A61" s="24" t="s">
        <v>31</v>
      </c>
      <c r="B61" s="25" t="s">
        <v>32</v>
      </c>
      <c r="C61" s="25">
        <v>333148.09999999998</v>
      </c>
      <c r="D61" s="22"/>
    </row>
    <row r="62" spans="1:4" ht="16.2" thickBot="1" x14ac:dyDescent="0.35">
      <c r="A62" s="24" t="s">
        <v>33</v>
      </c>
      <c r="B62" s="25" t="s">
        <v>32</v>
      </c>
      <c r="C62" s="25">
        <v>659770.19999999995</v>
      </c>
      <c r="D62" s="22"/>
    </row>
    <row r="63" spans="1:4" ht="16.2" thickBot="1" x14ac:dyDescent="0.35">
      <c r="A63" s="24" t="s">
        <v>34</v>
      </c>
      <c r="B63" s="25" t="s">
        <v>32</v>
      </c>
      <c r="C63" s="25">
        <v>986970.6</v>
      </c>
      <c r="D63" s="22"/>
    </row>
    <row r="64" spans="1:4" ht="16.2" thickBot="1" x14ac:dyDescent="0.35">
      <c r="A64" s="24" t="s">
        <v>35</v>
      </c>
      <c r="B64" s="25" t="s">
        <v>32</v>
      </c>
      <c r="C64" s="25">
        <v>1299288.2</v>
      </c>
      <c r="D64" s="22"/>
    </row>
    <row r="65" spans="1:4" ht="16.2" thickBot="1" x14ac:dyDescent="0.35">
      <c r="A65" s="23" t="s">
        <v>128</v>
      </c>
      <c r="B65" s="22"/>
      <c r="C65" s="22"/>
      <c r="D65" s="22"/>
    </row>
    <row r="66" spans="1:4" ht="16.2" thickBot="1" x14ac:dyDescent="0.35">
      <c r="A66" s="24" t="s">
        <v>31</v>
      </c>
      <c r="B66" s="25" t="s">
        <v>32</v>
      </c>
      <c r="C66" s="25">
        <v>27570.7</v>
      </c>
      <c r="D66" s="22"/>
    </row>
    <row r="67" spans="1:4" ht="16.2" thickBot="1" x14ac:dyDescent="0.35">
      <c r="A67" s="24" t="s">
        <v>33</v>
      </c>
      <c r="B67" s="25" t="s">
        <v>32</v>
      </c>
      <c r="C67" s="25">
        <v>54893.8</v>
      </c>
      <c r="D67" s="22"/>
    </row>
    <row r="68" spans="1:4" ht="16.2" thickBot="1" x14ac:dyDescent="0.35">
      <c r="A68" s="24" t="s">
        <v>34</v>
      </c>
      <c r="B68" s="25" t="s">
        <v>32</v>
      </c>
      <c r="C68" s="25">
        <v>86230.5</v>
      </c>
      <c r="D68" s="22"/>
    </row>
    <row r="69" spans="1:4" ht="16.2" thickBot="1" x14ac:dyDescent="0.35">
      <c r="A69" s="24" t="s">
        <v>35</v>
      </c>
      <c r="B69" s="25" t="s">
        <v>32</v>
      </c>
      <c r="C69" s="25">
        <v>118918.39999999999</v>
      </c>
      <c r="D69" s="22"/>
    </row>
    <row r="70" spans="1:4" ht="16.2" thickBot="1" x14ac:dyDescent="0.35">
      <c r="A70" s="23" t="s">
        <v>129</v>
      </c>
      <c r="B70" s="22"/>
      <c r="C70" s="22"/>
      <c r="D70" s="22"/>
    </row>
    <row r="71" spans="1:4" ht="16.2" thickBot="1" x14ac:dyDescent="0.35">
      <c r="A71" s="24" t="s">
        <v>31</v>
      </c>
      <c r="B71" s="25" t="s">
        <v>32</v>
      </c>
      <c r="C71" s="25">
        <v>32889.4</v>
      </c>
      <c r="D71" s="22"/>
    </row>
    <row r="72" spans="1:4" ht="16.2" thickBot="1" x14ac:dyDescent="0.35">
      <c r="A72" s="24" t="s">
        <v>33</v>
      </c>
      <c r="B72" s="25" t="s">
        <v>32</v>
      </c>
      <c r="C72" s="25">
        <v>70621.7</v>
      </c>
      <c r="D72" s="22"/>
    </row>
    <row r="73" spans="1:4" ht="16.2" thickBot="1" x14ac:dyDescent="0.35">
      <c r="A73" s="24" t="s">
        <v>34</v>
      </c>
      <c r="B73" s="25" t="s">
        <v>32</v>
      </c>
      <c r="C73" s="25">
        <v>110205.4</v>
      </c>
      <c r="D73" s="22"/>
    </row>
    <row r="74" spans="1:4" ht="16.2" thickBot="1" x14ac:dyDescent="0.35">
      <c r="A74" s="24" t="s">
        <v>35</v>
      </c>
      <c r="B74" s="25" t="s">
        <v>32</v>
      </c>
      <c r="C74" s="25">
        <v>148753.79999999999</v>
      </c>
      <c r="D74" s="22"/>
    </row>
    <row r="75" spans="1:4" ht="16.2" thickBot="1" x14ac:dyDescent="0.35">
      <c r="A75" s="23" t="s">
        <v>130</v>
      </c>
      <c r="B75" s="22"/>
      <c r="C75" s="22"/>
      <c r="D75" s="22"/>
    </row>
    <row r="76" spans="1:4" ht="16.2" thickBot="1" x14ac:dyDescent="0.35">
      <c r="A76" s="24" t="s">
        <v>31</v>
      </c>
      <c r="B76" s="25" t="s">
        <v>32</v>
      </c>
      <c r="C76" s="25">
        <v>72244.399999999994</v>
      </c>
      <c r="D76" s="22"/>
    </row>
    <row r="77" spans="1:4" ht="16.2" thickBot="1" x14ac:dyDescent="0.35">
      <c r="A77" s="24" t="s">
        <v>33</v>
      </c>
      <c r="B77" s="25" t="s">
        <v>32</v>
      </c>
      <c r="C77" s="25">
        <v>147878.1</v>
      </c>
      <c r="D77" s="22"/>
    </row>
    <row r="78" spans="1:4" ht="16.2" thickBot="1" x14ac:dyDescent="0.35">
      <c r="A78" s="24" t="s">
        <v>34</v>
      </c>
      <c r="B78" s="25" t="s">
        <v>32</v>
      </c>
      <c r="C78" s="25">
        <v>219257.3</v>
      </c>
      <c r="D78" s="22"/>
    </row>
    <row r="79" spans="1:4" ht="16.2" thickBot="1" x14ac:dyDescent="0.35">
      <c r="A79" s="24" t="s">
        <v>35</v>
      </c>
      <c r="B79" s="25" t="s">
        <v>32</v>
      </c>
      <c r="C79" s="25">
        <v>289866.2</v>
      </c>
      <c r="D79" s="22"/>
    </row>
    <row r="80" spans="1:4" ht="16.2" thickBot="1" x14ac:dyDescent="0.35">
      <c r="A80" s="23" t="s">
        <v>131</v>
      </c>
      <c r="B80" s="22"/>
      <c r="C80" s="22"/>
      <c r="D80" s="22"/>
    </row>
    <row r="81" spans="1:4" ht="16.2" thickBot="1" x14ac:dyDescent="0.35">
      <c r="A81" s="24" t="s">
        <v>31</v>
      </c>
      <c r="B81" s="25" t="s">
        <v>32</v>
      </c>
      <c r="C81" s="25">
        <v>4923.5</v>
      </c>
      <c r="D81" s="22"/>
    </row>
    <row r="82" spans="1:4" ht="16.2" thickBot="1" x14ac:dyDescent="0.35">
      <c r="A82" s="24" t="s">
        <v>33</v>
      </c>
      <c r="B82" s="25" t="s">
        <v>32</v>
      </c>
      <c r="C82" s="25">
        <v>9428.9</v>
      </c>
      <c r="D82" s="22"/>
    </row>
    <row r="83" spans="1:4" ht="16.2" thickBot="1" x14ac:dyDescent="0.35">
      <c r="A83" s="24" t="s">
        <v>34</v>
      </c>
      <c r="B83" s="25" t="s">
        <v>32</v>
      </c>
      <c r="C83" s="25">
        <v>14423.6</v>
      </c>
      <c r="D83" s="22"/>
    </row>
    <row r="84" spans="1:4" ht="16.2" thickBot="1" x14ac:dyDescent="0.35">
      <c r="A84" s="24" t="s">
        <v>35</v>
      </c>
      <c r="B84" s="25" t="s">
        <v>32</v>
      </c>
      <c r="C84" s="25">
        <v>20384.3</v>
      </c>
      <c r="D84" s="22"/>
    </row>
    <row r="85" spans="1:4" ht="16.2" thickBot="1" x14ac:dyDescent="0.35">
      <c r="A85" s="23" t="s">
        <v>132</v>
      </c>
      <c r="B85" s="22"/>
      <c r="C85" s="22"/>
      <c r="D85" s="22"/>
    </row>
    <row r="86" spans="1:4" ht="16.2" thickBot="1" x14ac:dyDescent="0.35">
      <c r="A86" s="24" t="s">
        <v>31</v>
      </c>
      <c r="B86" s="25" t="s">
        <v>32</v>
      </c>
      <c r="C86" s="25">
        <v>11217.8</v>
      </c>
      <c r="D86" s="22"/>
    </row>
    <row r="87" spans="1:4" ht="16.2" thickBot="1" x14ac:dyDescent="0.35">
      <c r="A87" s="24" t="s">
        <v>33</v>
      </c>
      <c r="B87" s="25" t="s">
        <v>32</v>
      </c>
      <c r="C87" s="25">
        <v>24074.1</v>
      </c>
      <c r="D87" s="22"/>
    </row>
    <row r="88" spans="1:4" ht="16.2" thickBot="1" x14ac:dyDescent="0.35">
      <c r="A88" s="24" t="s">
        <v>34</v>
      </c>
      <c r="B88" s="25" t="s">
        <v>32</v>
      </c>
      <c r="C88" s="25">
        <v>35684.400000000001</v>
      </c>
      <c r="D88" s="22"/>
    </row>
    <row r="89" spans="1:4" ht="16.2" thickBot="1" x14ac:dyDescent="0.35">
      <c r="A89" s="24" t="s">
        <v>35</v>
      </c>
      <c r="B89" s="25" t="s">
        <v>32</v>
      </c>
      <c r="C89" s="25">
        <v>48906.5</v>
      </c>
      <c r="D89" s="22"/>
    </row>
    <row r="90" spans="1:4" ht="31.8" thickBot="1" x14ac:dyDescent="0.35">
      <c r="A90" s="23" t="s">
        <v>133</v>
      </c>
      <c r="B90" s="22"/>
      <c r="C90" s="22"/>
      <c r="D90" s="22"/>
    </row>
    <row r="91" spans="1:4" ht="16.2" thickBot="1" x14ac:dyDescent="0.35">
      <c r="A91" s="24" t="s">
        <v>31</v>
      </c>
      <c r="B91" s="25" t="s">
        <v>32</v>
      </c>
      <c r="C91" s="25">
        <v>92609.7</v>
      </c>
      <c r="D91" s="22"/>
    </row>
    <row r="92" spans="1:4" ht="16.2" thickBot="1" x14ac:dyDescent="0.35">
      <c r="A92" s="24" t="s">
        <v>33</v>
      </c>
      <c r="B92" s="25" t="s">
        <v>32</v>
      </c>
      <c r="C92" s="25">
        <v>201710.1</v>
      </c>
      <c r="D92" s="22"/>
    </row>
    <row r="93" spans="1:4" ht="16.2" thickBot="1" x14ac:dyDescent="0.35">
      <c r="A93" s="24" t="s">
        <v>34</v>
      </c>
      <c r="B93" s="25" t="s">
        <v>32</v>
      </c>
      <c r="C93" s="25">
        <v>308140.90000000002</v>
      </c>
      <c r="D93" s="22"/>
    </row>
    <row r="94" spans="1:4" ht="16.2" thickBot="1" x14ac:dyDescent="0.35">
      <c r="A94" s="24" t="s">
        <v>35</v>
      </c>
      <c r="B94" s="25" t="s">
        <v>32</v>
      </c>
      <c r="C94" s="25">
        <v>463748.1</v>
      </c>
      <c r="D94" s="22"/>
    </row>
    <row r="95" spans="1:4" ht="16.2" thickBot="1" x14ac:dyDescent="0.35">
      <c r="A95" s="23" t="s">
        <v>134</v>
      </c>
      <c r="B95" s="22"/>
      <c r="C95" s="22"/>
      <c r="D95" s="22"/>
    </row>
    <row r="96" spans="1:4" ht="16.2" thickBot="1" x14ac:dyDescent="0.35">
      <c r="A96" s="24" t="s">
        <v>31</v>
      </c>
      <c r="B96" s="25" t="s">
        <v>32</v>
      </c>
      <c r="C96" s="25">
        <v>144586.79999999999</v>
      </c>
      <c r="D96" s="22"/>
    </row>
    <row r="97" spans="1:4" ht="16.2" thickBot="1" x14ac:dyDescent="0.35">
      <c r="A97" s="24" t="s">
        <v>33</v>
      </c>
      <c r="B97" s="25" t="s">
        <v>32</v>
      </c>
      <c r="C97" s="25">
        <v>313480</v>
      </c>
      <c r="D97" s="22"/>
    </row>
    <row r="98" spans="1:4" ht="16.2" thickBot="1" x14ac:dyDescent="0.35">
      <c r="A98" s="24" t="s">
        <v>34</v>
      </c>
      <c r="B98" s="25" t="s">
        <v>32</v>
      </c>
      <c r="C98" s="25">
        <v>458823.6</v>
      </c>
      <c r="D98" s="22"/>
    </row>
    <row r="99" spans="1:4" ht="16.2" thickBot="1" x14ac:dyDescent="0.35">
      <c r="A99" s="24" t="s">
        <v>35</v>
      </c>
      <c r="B99" s="25" t="s">
        <v>32</v>
      </c>
      <c r="C99" s="25">
        <v>621974.69999999995</v>
      </c>
      <c r="D99" s="22"/>
    </row>
    <row r="100" spans="1:4" ht="16.2" thickBot="1" x14ac:dyDescent="0.35">
      <c r="A100" s="23" t="s">
        <v>135</v>
      </c>
      <c r="B100" s="22"/>
      <c r="C100" s="22"/>
      <c r="D100" s="22"/>
    </row>
    <row r="101" spans="1:4" ht="16.2" thickBot="1" x14ac:dyDescent="0.35">
      <c r="A101" s="24" t="s">
        <v>31</v>
      </c>
      <c r="B101" s="25" t="s">
        <v>32</v>
      </c>
      <c r="C101" s="25">
        <v>99346.5</v>
      </c>
      <c r="D101" s="22"/>
    </row>
    <row r="102" spans="1:4" ht="16.2" thickBot="1" x14ac:dyDescent="0.35">
      <c r="A102" s="24" t="s">
        <v>33</v>
      </c>
      <c r="B102" s="25" t="s">
        <v>32</v>
      </c>
      <c r="C102" s="25">
        <v>201807.6</v>
      </c>
      <c r="D102" s="22"/>
    </row>
    <row r="103" spans="1:4" ht="16.2" thickBot="1" x14ac:dyDescent="0.35">
      <c r="A103" s="24" t="s">
        <v>34</v>
      </c>
      <c r="B103" s="25" t="s">
        <v>32</v>
      </c>
      <c r="C103" s="25">
        <v>307622.90000000002</v>
      </c>
      <c r="D103" s="22"/>
    </row>
    <row r="104" spans="1:4" ht="16.2" thickBot="1" x14ac:dyDescent="0.35">
      <c r="A104" s="24" t="s">
        <v>35</v>
      </c>
      <c r="B104" s="25" t="s">
        <v>32</v>
      </c>
      <c r="C104" s="25">
        <v>423527.8</v>
      </c>
      <c r="D104" s="22"/>
    </row>
    <row r="105" spans="1:4" ht="31.8" thickBot="1" x14ac:dyDescent="0.35">
      <c r="A105" s="21" t="s">
        <v>178</v>
      </c>
      <c r="B105" s="22"/>
      <c r="C105" s="22"/>
      <c r="D105" s="22"/>
    </row>
    <row r="106" spans="1:4" ht="16.2" thickBot="1" x14ac:dyDescent="0.35">
      <c r="A106" s="23" t="s">
        <v>30</v>
      </c>
      <c r="B106" s="22"/>
      <c r="C106" s="22"/>
      <c r="D106" s="22"/>
    </row>
    <row r="107" spans="1:4" ht="16.2" thickBot="1" x14ac:dyDescent="0.35">
      <c r="A107" s="24" t="s">
        <v>31</v>
      </c>
      <c r="B107" s="25" t="s">
        <v>136</v>
      </c>
      <c r="C107" s="25">
        <v>65046.400000000001</v>
      </c>
      <c r="D107" s="22"/>
    </row>
    <row r="108" spans="1:4" ht="16.2" thickBot="1" x14ac:dyDescent="0.35">
      <c r="A108" s="24" t="s">
        <v>33</v>
      </c>
      <c r="B108" s="25" t="s">
        <v>136</v>
      </c>
      <c r="C108" s="25">
        <v>66701.2</v>
      </c>
      <c r="D108" s="22"/>
    </row>
    <row r="109" spans="1:4" ht="16.2" thickBot="1" x14ac:dyDescent="0.35">
      <c r="A109" s="24" t="s">
        <v>34</v>
      </c>
      <c r="B109" s="25" t="s">
        <v>136</v>
      </c>
      <c r="C109" s="25">
        <v>67056.5</v>
      </c>
      <c r="D109" s="22"/>
    </row>
    <row r="110" spans="1:4" ht="16.2" thickBot="1" x14ac:dyDescent="0.35">
      <c r="A110" s="24" t="s">
        <v>35</v>
      </c>
      <c r="B110" s="25" t="s">
        <v>136</v>
      </c>
      <c r="C110" s="25">
        <v>68881.399999999994</v>
      </c>
      <c r="D110" s="22"/>
    </row>
    <row r="111" spans="1:4" ht="16.2" thickBot="1" x14ac:dyDescent="0.35">
      <c r="A111" s="23" t="s">
        <v>127</v>
      </c>
      <c r="B111" s="22"/>
      <c r="C111" s="22"/>
      <c r="D111" s="22"/>
    </row>
    <row r="112" spans="1:4" ht="16.2" thickBot="1" x14ac:dyDescent="0.35">
      <c r="A112" s="24" t="s">
        <v>31</v>
      </c>
      <c r="B112" s="25" t="s">
        <v>136</v>
      </c>
      <c r="C112" s="25">
        <v>66195.8</v>
      </c>
      <c r="D112" s="22"/>
    </row>
    <row r="113" spans="1:4" ht="16.2" thickBot="1" x14ac:dyDescent="0.35">
      <c r="A113" s="24" t="s">
        <v>33</v>
      </c>
      <c r="B113" s="25" t="s">
        <v>136</v>
      </c>
      <c r="C113" s="25">
        <v>69571.5</v>
      </c>
      <c r="D113" s="22"/>
    </row>
    <row r="114" spans="1:4" ht="16.2" thickBot="1" x14ac:dyDescent="0.35">
      <c r="A114" s="24" t="s">
        <v>34</v>
      </c>
      <c r="B114" s="25" t="s">
        <v>136</v>
      </c>
      <c r="C114" s="25">
        <v>71424.600000000006</v>
      </c>
      <c r="D114" s="22"/>
    </row>
    <row r="115" spans="1:4" ht="16.2" thickBot="1" x14ac:dyDescent="0.35">
      <c r="A115" s="24" t="s">
        <v>35</v>
      </c>
      <c r="B115" s="25" t="s">
        <v>136</v>
      </c>
      <c r="C115" s="25">
        <v>71944.600000000006</v>
      </c>
      <c r="D115" s="22"/>
    </row>
    <row r="116" spans="1:4" ht="16.2" thickBot="1" x14ac:dyDescent="0.35">
      <c r="A116" s="23" t="s">
        <v>128</v>
      </c>
      <c r="B116" s="22"/>
      <c r="C116" s="22"/>
      <c r="D116" s="22"/>
    </row>
    <row r="117" spans="1:4" ht="16.2" thickBot="1" x14ac:dyDescent="0.35">
      <c r="A117" s="24" t="s">
        <v>31</v>
      </c>
      <c r="B117" s="25" t="s">
        <v>136</v>
      </c>
      <c r="C117" s="25">
        <v>76854.3</v>
      </c>
      <c r="D117" s="22"/>
    </row>
    <row r="118" spans="1:4" ht="16.2" thickBot="1" x14ac:dyDescent="0.35">
      <c r="A118" s="24" t="s">
        <v>33</v>
      </c>
      <c r="B118" s="25" t="s">
        <v>136</v>
      </c>
      <c r="C118" s="25">
        <v>77005</v>
      </c>
      <c r="D118" s="22"/>
    </row>
    <row r="119" spans="1:4" ht="16.2" thickBot="1" x14ac:dyDescent="0.35">
      <c r="A119" s="24" t="s">
        <v>34</v>
      </c>
      <c r="B119" s="25" t="s">
        <v>136</v>
      </c>
      <c r="C119" s="25">
        <v>80592.100000000006</v>
      </c>
      <c r="D119" s="22"/>
    </row>
    <row r="120" spans="1:4" ht="16.2" thickBot="1" x14ac:dyDescent="0.35">
      <c r="A120" s="24" t="s">
        <v>35</v>
      </c>
      <c r="B120" s="25" t="s">
        <v>136</v>
      </c>
      <c r="C120" s="25">
        <v>82781</v>
      </c>
      <c r="D120" s="22"/>
    </row>
    <row r="121" spans="1:4" ht="16.2" thickBot="1" x14ac:dyDescent="0.35">
      <c r="A121" s="23" t="s">
        <v>129</v>
      </c>
      <c r="B121" s="22"/>
      <c r="C121" s="22"/>
      <c r="D121" s="22"/>
    </row>
    <row r="122" spans="1:4" ht="16.2" thickBot="1" x14ac:dyDescent="0.35">
      <c r="A122" s="24" t="s">
        <v>31</v>
      </c>
      <c r="B122" s="25" t="s">
        <v>136</v>
      </c>
      <c r="C122" s="25">
        <v>47677.1</v>
      </c>
      <c r="D122" s="22"/>
    </row>
    <row r="123" spans="1:4" ht="16.2" thickBot="1" x14ac:dyDescent="0.35">
      <c r="A123" s="24" t="s">
        <v>33</v>
      </c>
      <c r="B123" s="25" t="s">
        <v>136</v>
      </c>
      <c r="C123" s="25">
        <v>50385.7</v>
      </c>
      <c r="D123" s="22"/>
    </row>
    <row r="124" spans="1:4" ht="16.2" thickBot="1" x14ac:dyDescent="0.35">
      <c r="A124" s="24" t="s">
        <v>34</v>
      </c>
      <c r="B124" s="25" t="s">
        <v>136</v>
      </c>
      <c r="C124" s="25">
        <v>52087.1</v>
      </c>
      <c r="D124" s="22"/>
    </row>
    <row r="125" spans="1:4" ht="16.2" thickBot="1" x14ac:dyDescent="0.35">
      <c r="A125" s="24" t="s">
        <v>35</v>
      </c>
      <c r="B125" s="25" t="s">
        <v>136</v>
      </c>
      <c r="C125" s="25">
        <v>53577.3</v>
      </c>
      <c r="D125" s="22"/>
    </row>
    <row r="126" spans="1:4" ht="16.2" thickBot="1" x14ac:dyDescent="0.35">
      <c r="A126" s="23" t="s">
        <v>130</v>
      </c>
      <c r="B126" s="22"/>
      <c r="C126" s="22"/>
      <c r="D126" s="22"/>
    </row>
    <row r="127" spans="1:4" ht="16.2" thickBot="1" x14ac:dyDescent="0.35">
      <c r="A127" s="24" t="s">
        <v>31</v>
      </c>
      <c r="B127" s="25" t="s">
        <v>136</v>
      </c>
      <c r="C127" s="25">
        <v>56713</v>
      </c>
      <c r="D127" s="22"/>
    </row>
    <row r="128" spans="1:4" ht="16.2" thickBot="1" x14ac:dyDescent="0.35">
      <c r="A128" s="24" t="s">
        <v>33</v>
      </c>
      <c r="B128" s="25" t="s">
        <v>136</v>
      </c>
      <c r="C128" s="25">
        <v>59394.5</v>
      </c>
      <c r="D128" s="22"/>
    </row>
    <row r="129" spans="1:4" ht="16.2" thickBot="1" x14ac:dyDescent="0.35">
      <c r="A129" s="24" t="s">
        <v>34</v>
      </c>
      <c r="B129" s="25" t="s">
        <v>136</v>
      </c>
      <c r="C129" s="25">
        <v>59634.6</v>
      </c>
      <c r="D129" s="22"/>
    </row>
    <row r="130" spans="1:4" ht="16.2" thickBot="1" x14ac:dyDescent="0.35">
      <c r="A130" s="24" t="s">
        <v>35</v>
      </c>
      <c r="B130" s="25" t="s">
        <v>136</v>
      </c>
      <c r="C130" s="25">
        <v>59786.400000000001</v>
      </c>
      <c r="D130" s="22"/>
    </row>
    <row r="131" spans="1:4" ht="16.2" thickBot="1" x14ac:dyDescent="0.35">
      <c r="A131" s="23" t="s">
        <v>131</v>
      </c>
      <c r="B131" s="22"/>
      <c r="C131" s="22"/>
      <c r="D131" s="22"/>
    </row>
    <row r="132" spans="1:4" ht="16.2" thickBot="1" x14ac:dyDescent="0.35">
      <c r="A132" s="24" t="s">
        <v>31</v>
      </c>
      <c r="B132" s="25" t="s">
        <v>136</v>
      </c>
      <c r="C132" s="25">
        <v>81157</v>
      </c>
      <c r="D132" s="22"/>
    </row>
    <row r="133" spans="1:4" ht="16.2" thickBot="1" x14ac:dyDescent="0.35">
      <c r="A133" s="24" t="s">
        <v>33</v>
      </c>
      <c r="B133" s="25" t="s">
        <v>136</v>
      </c>
      <c r="C133" s="25">
        <v>79586.3</v>
      </c>
      <c r="D133" s="22"/>
    </row>
    <row r="134" spans="1:4" ht="16.2" thickBot="1" x14ac:dyDescent="0.35">
      <c r="A134" s="24" t="s">
        <v>34</v>
      </c>
      <c r="B134" s="25" t="s">
        <v>136</v>
      </c>
      <c r="C134" s="25">
        <v>79872.600000000006</v>
      </c>
      <c r="D134" s="22"/>
    </row>
    <row r="135" spans="1:4" ht="16.2" thickBot="1" x14ac:dyDescent="0.35">
      <c r="A135" s="24" t="s">
        <v>35</v>
      </c>
      <c r="B135" s="25" t="s">
        <v>136</v>
      </c>
      <c r="C135" s="25">
        <v>87615.4</v>
      </c>
      <c r="D135" s="22"/>
    </row>
    <row r="136" spans="1:4" ht="16.2" thickBot="1" x14ac:dyDescent="0.35">
      <c r="A136" s="23" t="s">
        <v>132</v>
      </c>
      <c r="B136" s="22"/>
      <c r="C136" s="22"/>
      <c r="D136" s="22"/>
    </row>
    <row r="137" spans="1:4" ht="16.2" thickBot="1" x14ac:dyDescent="0.35">
      <c r="A137" s="24" t="s">
        <v>31</v>
      </c>
      <c r="B137" s="25" t="s">
        <v>136</v>
      </c>
      <c r="C137" s="25">
        <v>60999.5</v>
      </c>
      <c r="D137" s="22"/>
    </row>
    <row r="138" spans="1:4" ht="16.2" thickBot="1" x14ac:dyDescent="0.35">
      <c r="A138" s="24" t="s">
        <v>33</v>
      </c>
      <c r="B138" s="25" t="s">
        <v>136</v>
      </c>
      <c r="C138" s="25">
        <v>66262</v>
      </c>
      <c r="D138" s="22"/>
    </row>
    <row r="139" spans="1:4" ht="16.2" thickBot="1" x14ac:dyDescent="0.35">
      <c r="A139" s="24" t="s">
        <v>34</v>
      </c>
      <c r="B139" s="25" t="s">
        <v>136</v>
      </c>
      <c r="C139" s="25">
        <v>66450.2</v>
      </c>
      <c r="D139" s="22"/>
    </row>
    <row r="140" spans="1:4" ht="16.2" thickBot="1" x14ac:dyDescent="0.35">
      <c r="A140" s="24" t="s">
        <v>35</v>
      </c>
      <c r="B140" s="25" t="s">
        <v>136</v>
      </c>
      <c r="C140" s="25">
        <v>69335.600000000006</v>
      </c>
      <c r="D140" s="22"/>
    </row>
    <row r="141" spans="1:4" ht="31.8" thickBot="1" x14ac:dyDescent="0.35">
      <c r="A141" s="23" t="s">
        <v>133</v>
      </c>
      <c r="B141" s="22"/>
      <c r="C141" s="22"/>
      <c r="D141" s="22"/>
    </row>
    <row r="142" spans="1:4" ht="16.2" thickBot="1" x14ac:dyDescent="0.35">
      <c r="A142" s="24" t="s">
        <v>31</v>
      </c>
      <c r="B142" s="25" t="s">
        <v>136</v>
      </c>
      <c r="C142" s="25">
        <v>63495.199999999997</v>
      </c>
      <c r="D142" s="22"/>
    </row>
    <row r="143" spans="1:4" ht="16.2" thickBot="1" x14ac:dyDescent="0.35">
      <c r="A143" s="24" t="s">
        <v>33</v>
      </c>
      <c r="B143" s="25" t="s">
        <v>136</v>
      </c>
      <c r="C143" s="25">
        <v>69480.7</v>
      </c>
      <c r="D143" s="22"/>
    </row>
    <row r="144" spans="1:4" ht="16.2" thickBot="1" x14ac:dyDescent="0.35">
      <c r="A144" s="24" t="s">
        <v>34</v>
      </c>
      <c r="B144" s="25" t="s">
        <v>136</v>
      </c>
      <c r="C144" s="25">
        <v>71051.100000000006</v>
      </c>
      <c r="D144" s="22"/>
    </row>
    <row r="145" spans="1:4" ht="16.2" thickBot="1" x14ac:dyDescent="0.35">
      <c r="A145" s="24" t="s">
        <v>35</v>
      </c>
      <c r="B145" s="25" t="s">
        <v>136</v>
      </c>
      <c r="C145" s="25">
        <v>80217.399999999994</v>
      </c>
      <c r="D145" s="22"/>
    </row>
    <row r="146" spans="1:4" ht="16.2" thickBot="1" x14ac:dyDescent="0.35">
      <c r="A146" s="23" t="s">
        <v>134</v>
      </c>
      <c r="B146" s="22"/>
      <c r="C146" s="22"/>
      <c r="D146" s="22"/>
    </row>
    <row r="147" spans="1:4" ht="16.2" thickBot="1" x14ac:dyDescent="0.35">
      <c r="A147" s="24" t="s">
        <v>31</v>
      </c>
      <c r="B147" s="25" t="s">
        <v>136</v>
      </c>
      <c r="C147" s="25">
        <v>55181</v>
      </c>
      <c r="D147" s="22"/>
    </row>
    <row r="148" spans="1:4" ht="16.2" thickBot="1" x14ac:dyDescent="0.35">
      <c r="A148" s="24" t="s">
        <v>33</v>
      </c>
      <c r="B148" s="25" t="s">
        <v>136</v>
      </c>
      <c r="C148" s="25">
        <v>59196.7</v>
      </c>
      <c r="D148" s="22"/>
    </row>
    <row r="149" spans="1:4" ht="16.2" thickBot="1" x14ac:dyDescent="0.35">
      <c r="A149" s="24" t="s">
        <v>34</v>
      </c>
      <c r="B149" s="25" t="s">
        <v>136</v>
      </c>
      <c r="C149" s="25">
        <v>57534.6</v>
      </c>
      <c r="D149" s="22"/>
    </row>
    <row r="150" spans="1:4" ht="16.2" thickBot="1" x14ac:dyDescent="0.35">
      <c r="A150" s="24" t="s">
        <v>35</v>
      </c>
      <c r="B150" s="25" t="s">
        <v>136</v>
      </c>
      <c r="C150" s="25">
        <v>58835</v>
      </c>
      <c r="D150" s="22"/>
    </row>
    <row r="151" spans="1:4" ht="16.2" thickBot="1" x14ac:dyDescent="0.35">
      <c r="A151" s="23" t="s">
        <v>135</v>
      </c>
      <c r="B151" s="22"/>
      <c r="C151" s="22"/>
      <c r="D151" s="22"/>
    </row>
    <row r="152" spans="1:4" ht="16.2" thickBot="1" x14ac:dyDescent="0.35">
      <c r="A152" s="24" t="s">
        <v>31</v>
      </c>
      <c r="B152" s="25" t="s">
        <v>136</v>
      </c>
      <c r="C152" s="25">
        <v>63944.3</v>
      </c>
      <c r="D152" s="22"/>
    </row>
    <row r="153" spans="1:4" ht="16.2" thickBot="1" x14ac:dyDescent="0.35">
      <c r="A153" s="24" t="s">
        <v>33</v>
      </c>
      <c r="B153" s="25" t="s">
        <v>136</v>
      </c>
      <c r="C153" s="25">
        <v>65074</v>
      </c>
      <c r="D153" s="22"/>
    </row>
    <row r="154" spans="1:4" ht="16.2" thickBot="1" x14ac:dyDescent="0.35">
      <c r="A154" s="24" t="s">
        <v>34</v>
      </c>
      <c r="B154" s="25" t="s">
        <v>136</v>
      </c>
      <c r="C154" s="25">
        <v>66563.199999999997</v>
      </c>
      <c r="D154" s="22"/>
    </row>
    <row r="155" spans="1:4" ht="16.2" thickBot="1" x14ac:dyDescent="0.35">
      <c r="A155" s="24" t="s">
        <v>35</v>
      </c>
      <c r="B155" s="25" t="s">
        <v>136</v>
      </c>
      <c r="C155" s="25">
        <v>68827.199999999997</v>
      </c>
      <c r="D155" s="22"/>
    </row>
    <row r="156" spans="1:4" ht="31.8" thickBot="1" x14ac:dyDescent="0.35">
      <c r="A156" s="21" t="s">
        <v>137</v>
      </c>
      <c r="B156" s="22"/>
      <c r="C156" s="22"/>
      <c r="D156" s="22"/>
    </row>
    <row r="157" spans="1:4" ht="16.2" thickBot="1" x14ac:dyDescent="0.35">
      <c r="A157" s="23" t="s">
        <v>30</v>
      </c>
      <c r="B157" s="22"/>
      <c r="C157" s="22"/>
      <c r="D157" s="22"/>
    </row>
    <row r="158" spans="1:4" ht="16.2" thickBot="1" x14ac:dyDescent="0.35">
      <c r="A158" s="24" t="s">
        <v>35</v>
      </c>
      <c r="B158" s="25" t="s">
        <v>125</v>
      </c>
      <c r="C158" s="25">
        <v>1123</v>
      </c>
      <c r="D158" s="22"/>
    </row>
    <row r="159" spans="1:4" ht="31.8" thickBot="1" x14ac:dyDescent="0.35">
      <c r="A159" s="23" t="s">
        <v>133</v>
      </c>
      <c r="B159" s="22"/>
      <c r="C159" s="22"/>
      <c r="D159" s="22"/>
    </row>
    <row r="160" spans="1:4" ht="16.2" thickBot="1" x14ac:dyDescent="0.35">
      <c r="A160" s="24" t="s">
        <v>35</v>
      </c>
      <c r="B160" s="25" t="s">
        <v>125</v>
      </c>
      <c r="C160" s="25">
        <v>130</v>
      </c>
      <c r="D160" s="22"/>
    </row>
    <row r="161" spans="1:4" ht="16.2" thickBot="1" x14ac:dyDescent="0.35">
      <c r="A161" s="23" t="s">
        <v>134</v>
      </c>
      <c r="B161" s="22"/>
      <c r="C161" s="22"/>
      <c r="D161" s="22"/>
    </row>
    <row r="162" spans="1:4" ht="16.2" thickBot="1" x14ac:dyDescent="0.35">
      <c r="A162" s="24" t="s">
        <v>35</v>
      </c>
      <c r="B162" s="25" t="s">
        <v>125</v>
      </c>
      <c r="C162" s="25">
        <v>777</v>
      </c>
      <c r="D162" s="22"/>
    </row>
    <row r="163" spans="1:4" ht="31.8" thickBot="1" x14ac:dyDescent="0.35">
      <c r="A163" s="21" t="s">
        <v>138</v>
      </c>
      <c r="B163" s="22"/>
      <c r="C163" s="22"/>
      <c r="D163" s="22"/>
    </row>
    <row r="164" spans="1:4" ht="16.2" thickBot="1" x14ac:dyDescent="0.35">
      <c r="A164" s="23" t="s">
        <v>30</v>
      </c>
      <c r="B164" s="22"/>
      <c r="C164" s="22"/>
      <c r="D164" s="22"/>
    </row>
    <row r="165" spans="1:4" ht="16.2" thickBot="1" x14ac:dyDescent="0.35">
      <c r="A165" s="24" t="s">
        <v>35</v>
      </c>
      <c r="B165" s="25" t="s">
        <v>32</v>
      </c>
      <c r="C165" s="25">
        <v>820967.3</v>
      </c>
      <c r="D165" s="22"/>
    </row>
    <row r="166" spans="1:4" ht="31.8" thickBot="1" x14ac:dyDescent="0.35">
      <c r="A166" s="23" t="s">
        <v>133</v>
      </c>
      <c r="B166" s="22"/>
      <c r="C166" s="22"/>
      <c r="D166" s="22"/>
    </row>
    <row r="167" spans="1:4" ht="16.2" thickBot="1" x14ac:dyDescent="0.35">
      <c r="A167" s="24" t="s">
        <v>35</v>
      </c>
      <c r="B167" s="25" t="s">
        <v>32</v>
      </c>
      <c r="C167" s="25">
        <v>122587.1</v>
      </c>
      <c r="D167" s="22"/>
    </row>
    <row r="168" spans="1:4" ht="16.2" thickBot="1" x14ac:dyDescent="0.35">
      <c r="A168" s="23" t="s">
        <v>134</v>
      </c>
      <c r="B168" s="22"/>
      <c r="C168" s="22"/>
      <c r="D168" s="22"/>
    </row>
    <row r="169" spans="1:4" ht="16.2" thickBot="1" x14ac:dyDescent="0.35">
      <c r="A169" s="24" t="s">
        <v>35</v>
      </c>
      <c r="B169" s="25" t="s">
        <v>32</v>
      </c>
      <c r="C169" s="25">
        <v>538834.1</v>
      </c>
      <c r="D169" s="22"/>
    </row>
    <row r="170" spans="1:4" ht="31.8" thickBot="1" x14ac:dyDescent="0.35">
      <c r="A170" s="21" t="s">
        <v>139</v>
      </c>
      <c r="B170" s="22"/>
      <c r="C170" s="22"/>
      <c r="D170" s="22"/>
    </row>
    <row r="171" spans="1:4" ht="16.2" thickBot="1" x14ac:dyDescent="0.35">
      <c r="A171" s="23" t="s">
        <v>30</v>
      </c>
      <c r="B171" s="22"/>
      <c r="C171" s="22"/>
      <c r="D171" s="22"/>
    </row>
    <row r="172" spans="1:4" ht="16.2" thickBot="1" x14ac:dyDescent="0.35">
      <c r="A172" s="24" t="s">
        <v>35</v>
      </c>
      <c r="B172" s="25" t="s">
        <v>136</v>
      </c>
      <c r="C172" s="25">
        <v>60927.199999999997</v>
      </c>
      <c r="D172" s="22"/>
    </row>
    <row r="173" spans="1:4" ht="31.8" thickBot="1" x14ac:dyDescent="0.35">
      <c r="A173" s="23" t="s">
        <v>133</v>
      </c>
      <c r="B173" s="22"/>
      <c r="C173" s="22"/>
      <c r="D173" s="22"/>
    </row>
    <row r="174" spans="1:4" ht="16.2" thickBot="1" x14ac:dyDescent="0.35">
      <c r="A174" s="24" t="s">
        <v>35</v>
      </c>
      <c r="B174" s="25" t="s">
        <v>136</v>
      </c>
      <c r="C174" s="25">
        <v>78817.600000000006</v>
      </c>
      <c r="D174" s="22"/>
    </row>
    <row r="175" spans="1:4" ht="16.2" thickBot="1" x14ac:dyDescent="0.35">
      <c r="A175" s="23" t="s">
        <v>134</v>
      </c>
      <c r="B175" s="22"/>
      <c r="C175" s="22"/>
      <c r="D175" s="22"/>
    </row>
    <row r="176" spans="1:4" ht="16.2" thickBot="1" x14ac:dyDescent="0.35">
      <c r="A176" s="24" t="s">
        <v>35</v>
      </c>
      <c r="B176" s="25" t="s">
        <v>136</v>
      </c>
      <c r="C176" s="25">
        <v>57729.5</v>
      </c>
      <c r="D176" s="22"/>
    </row>
    <row r="221" spans="1:6" x14ac:dyDescent="0.3">
      <c r="A221" s="4"/>
      <c r="B221" s="3"/>
      <c r="C221" s="3"/>
      <c r="D221" s="3"/>
      <c r="E221" s="3"/>
      <c r="F221" s="3"/>
    </row>
    <row r="222" spans="1:6" x14ac:dyDescent="0.3">
      <c r="A222" s="8"/>
      <c r="B222" s="5"/>
      <c r="C222" s="5"/>
      <c r="D222" s="5"/>
      <c r="E222" s="5"/>
      <c r="F222" s="3"/>
    </row>
    <row r="223" spans="1:6" x14ac:dyDescent="0.3">
      <c r="A223" s="4"/>
      <c r="B223" s="3"/>
      <c r="C223" s="3"/>
      <c r="D223" s="3"/>
      <c r="E223" s="3"/>
      <c r="F223" s="3"/>
    </row>
    <row r="224" spans="1:6" x14ac:dyDescent="0.3">
      <c r="A224" s="8"/>
      <c r="B224" s="5"/>
      <c r="C224" s="5"/>
      <c r="D224" s="3"/>
      <c r="E224" s="3"/>
      <c r="F224" s="3"/>
    </row>
    <row r="225" spans="1:6" x14ac:dyDescent="0.3">
      <c r="A225" s="4"/>
      <c r="B225" s="3"/>
      <c r="C225" s="3"/>
      <c r="D225" s="3"/>
      <c r="E225" s="3"/>
      <c r="F225" s="3"/>
    </row>
    <row r="226" spans="1:6" x14ac:dyDescent="0.3">
      <c r="A226" s="8"/>
      <c r="B226" s="5"/>
      <c r="C226" s="5"/>
      <c r="D226" s="3"/>
      <c r="E226" s="3"/>
      <c r="F226" s="3"/>
    </row>
    <row r="227" spans="1:6" x14ac:dyDescent="0.3">
      <c r="A227" s="4"/>
      <c r="B227" s="3"/>
      <c r="C227" s="3"/>
      <c r="D227" s="3"/>
      <c r="E227" s="3"/>
      <c r="F227" s="3"/>
    </row>
    <row r="228" spans="1:6" x14ac:dyDescent="0.3">
      <c r="A228" s="8"/>
      <c r="B228" s="5"/>
      <c r="C228" s="5"/>
      <c r="D228" s="3"/>
      <c r="E228" s="3"/>
      <c r="F228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7D31-0A6A-4A24-BB3F-902D35444DE3}">
  <dimension ref="A1"/>
  <sheetViews>
    <sheetView workbookViewId="0">
      <selection activeCell="F17" sqref="F17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1" x14ac:dyDescent="0.3">
      <c r="A1" s="7" t="s">
        <v>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8449-4211-40F8-A871-81804D5A0D7E}">
  <dimension ref="A1"/>
  <sheetViews>
    <sheetView workbookViewId="0">
      <selection activeCell="F17" sqref="F17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1" x14ac:dyDescent="0.3">
      <c r="A1" s="7" t="s">
        <v>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BB80-8F3E-477A-8AA5-3477628F0871}">
  <dimension ref="A1:F3"/>
  <sheetViews>
    <sheetView workbookViewId="0">
      <selection activeCell="F17" sqref="F17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x14ac:dyDescent="0.3">
      <c r="A1" s="7" t="s">
        <v>16</v>
      </c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3"/>
      <c r="B3" s="5"/>
      <c r="C3" s="5"/>
      <c r="D3" s="5"/>
      <c r="E3" s="3"/>
      <c r="F3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3A57-E24A-4F74-A179-3C19F7A490B8}">
  <dimension ref="A1"/>
  <sheetViews>
    <sheetView workbookViewId="0">
      <selection activeCell="F17" sqref="F17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1" x14ac:dyDescent="0.3">
      <c r="A1" s="7" t="s">
        <v>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0994-AC2A-4513-B166-AB0FABA8B60D}">
  <dimension ref="A1"/>
  <sheetViews>
    <sheetView workbookViewId="0">
      <selection activeCell="F17" sqref="F17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1" x14ac:dyDescent="0.3">
      <c r="A1" s="7" t="s">
        <v>18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1C4-8C10-4667-A072-D5D176E209F7}">
  <dimension ref="A1:F51"/>
  <sheetViews>
    <sheetView workbookViewId="0">
      <selection activeCell="F17" sqref="F17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4" ht="15" thickBot="1" x14ac:dyDescent="0.35">
      <c r="A1" s="7" t="s">
        <v>19</v>
      </c>
    </row>
    <row r="2" spans="1:4" ht="16.2" thickBot="1" x14ac:dyDescent="0.35">
      <c r="A2" s="19" t="s">
        <v>29</v>
      </c>
      <c r="B2" s="20" t="s">
        <v>173</v>
      </c>
      <c r="C2" s="20">
        <v>2025</v>
      </c>
      <c r="D2" s="20">
        <v>2026</v>
      </c>
    </row>
    <row r="3" spans="1:4" ht="31.8" thickBot="1" x14ac:dyDescent="0.35">
      <c r="A3" s="21" t="s">
        <v>174</v>
      </c>
      <c r="B3" s="22"/>
      <c r="C3" s="22"/>
      <c r="D3" s="22"/>
    </row>
    <row r="4" spans="1:4" ht="16.2" thickBot="1" x14ac:dyDescent="0.35">
      <c r="A4" s="23" t="s">
        <v>30</v>
      </c>
      <c r="B4" s="22"/>
      <c r="C4" s="22"/>
      <c r="D4" s="22"/>
    </row>
    <row r="5" spans="1:4" ht="16.2" thickBot="1" x14ac:dyDescent="0.35">
      <c r="A5" s="24" t="s">
        <v>31</v>
      </c>
      <c r="B5" s="25" t="s">
        <v>32</v>
      </c>
      <c r="C5" s="25">
        <v>3570973.2</v>
      </c>
      <c r="D5" s="22"/>
    </row>
    <row r="6" spans="1:4" ht="16.2" thickBot="1" x14ac:dyDescent="0.35">
      <c r="A6" s="24" t="s">
        <v>33</v>
      </c>
      <c r="B6" s="25" t="s">
        <v>32</v>
      </c>
      <c r="C6" s="25">
        <v>6974180.2000000002</v>
      </c>
      <c r="D6" s="22"/>
    </row>
    <row r="7" spans="1:4" ht="16.2" thickBot="1" x14ac:dyDescent="0.35">
      <c r="A7" s="24" t="s">
        <v>34</v>
      </c>
      <c r="B7" s="25" t="s">
        <v>32</v>
      </c>
      <c r="C7" s="25">
        <v>10162740.800000001</v>
      </c>
      <c r="D7" s="22"/>
    </row>
    <row r="8" spans="1:4" ht="16.2" thickBot="1" x14ac:dyDescent="0.35">
      <c r="A8" s="24" t="s">
        <v>35</v>
      </c>
      <c r="B8" s="25" t="s">
        <v>32</v>
      </c>
      <c r="C8" s="25">
        <v>14412269.800000001</v>
      </c>
      <c r="D8" s="22"/>
    </row>
    <row r="9" spans="1:4" ht="16.2" thickBot="1" x14ac:dyDescent="0.35">
      <c r="A9" s="23" t="s">
        <v>127</v>
      </c>
      <c r="B9" s="22"/>
      <c r="C9" s="22"/>
      <c r="D9" s="22"/>
    </row>
    <row r="10" spans="1:4" ht="16.2" thickBot="1" x14ac:dyDescent="0.35">
      <c r="A10" s="24" t="s">
        <v>31</v>
      </c>
      <c r="B10" s="25" t="s">
        <v>32</v>
      </c>
      <c r="C10" s="25">
        <v>3046705.8</v>
      </c>
      <c r="D10" s="22"/>
    </row>
    <row r="11" spans="1:4" ht="16.2" thickBot="1" x14ac:dyDescent="0.35">
      <c r="A11" s="24" t="s">
        <v>33</v>
      </c>
      <c r="B11" s="25" t="s">
        <v>32</v>
      </c>
      <c r="C11" s="25">
        <v>6005557.2999999998</v>
      </c>
      <c r="D11" s="22"/>
    </row>
    <row r="12" spans="1:4" ht="16.2" thickBot="1" x14ac:dyDescent="0.35">
      <c r="A12" s="24" t="s">
        <v>34</v>
      </c>
      <c r="B12" s="25" t="s">
        <v>32</v>
      </c>
      <c r="C12" s="25">
        <v>8722230.6999999993</v>
      </c>
      <c r="D12" s="22"/>
    </row>
    <row r="13" spans="1:4" ht="16.2" thickBot="1" x14ac:dyDescent="0.35">
      <c r="A13" s="24" t="s">
        <v>35</v>
      </c>
      <c r="B13" s="25" t="s">
        <v>32</v>
      </c>
      <c r="C13" s="25">
        <v>12293252.199999999</v>
      </c>
      <c r="D13" s="22"/>
    </row>
    <row r="14" spans="1:4" ht="16.2" thickBot="1" x14ac:dyDescent="0.35">
      <c r="A14" s="23" t="s">
        <v>129</v>
      </c>
      <c r="B14" s="22"/>
      <c r="C14" s="22"/>
      <c r="D14" s="22"/>
    </row>
    <row r="15" spans="1:4" ht="16.2" thickBot="1" x14ac:dyDescent="0.35">
      <c r="A15" s="24" t="s">
        <v>31</v>
      </c>
      <c r="B15" s="25" t="s">
        <v>32</v>
      </c>
      <c r="C15" s="25">
        <v>6783.9</v>
      </c>
      <c r="D15" s="22"/>
    </row>
    <row r="16" spans="1:4" ht="16.2" thickBot="1" x14ac:dyDescent="0.35">
      <c r="A16" s="24" t="s">
        <v>33</v>
      </c>
      <c r="B16" s="25" t="s">
        <v>32</v>
      </c>
      <c r="C16" s="25">
        <v>16494.2</v>
      </c>
      <c r="D16" s="22"/>
    </row>
    <row r="17" spans="1:4" ht="16.2" thickBot="1" x14ac:dyDescent="0.35">
      <c r="A17" s="24" t="s">
        <v>34</v>
      </c>
      <c r="B17" s="25" t="s">
        <v>32</v>
      </c>
      <c r="C17" s="25">
        <v>26888.7</v>
      </c>
      <c r="D17" s="22"/>
    </row>
    <row r="18" spans="1:4" ht="16.2" thickBot="1" x14ac:dyDescent="0.35">
      <c r="A18" s="24" t="s">
        <v>35</v>
      </c>
      <c r="B18" s="25" t="s">
        <v>32</v>
      </c>
      <c r="C18" s="25">
        <v>35687.300000000003</v>
      </c>
      <c r="D18" s="22"/>
    </row>
    <row r="19" spans="1:4" ht="16.2" thickBot="1" x14ac:dyDescent="0.35">
      <c r="A19" s="23" t="s">
        <v>134</v>
      </c>
      <c r="B19" s="22"/>
      <c r="C19" s="22"/>
      <c r="D19" s="22"/>
    </row>
    <row r="20" spans="1:4" ht="16.2" thickBot="1" x14ac:dyDescent="0.35">
      <c r="A20" s="24" t="s">
        <v>31</v>
      </c>
      <c r="B20" s="25" t="s">
        <v>32</v>
      </c>
      <c r="C20" s="25">
        <v>4622.8</v>
      </c>
      <c r="D20" s="22"/>
    </row>
    <row r="21" spans="1:4" ht="16.2" thickBot="1" x14ac:dyDescent="0.35">
      <c r="A21" s="24" t="s">
        <v>33</v>
      </c>
      <c r="B21" s="25" t="s">
        <v>32</v>
      </c>
      <c r="C21" s="25">
        <v>9247.9</v>
      </c>
      <c r="D21" s="22"/>
    </row>
    <row r="22" spans="1:4" ht="16.2" thickBot="1" x14ac:dyDescent="0.35">
      <c r="A22" s="24" t="s">
        <v>34</v>
      </c>
      <c r="B22" s="25" t="s">
        <v>32</v>
      </c>
      <c r="C22" s="25">
        <v>11951.8</v>
      </c>
      <c r="D22" s="22"/>
    </row>
    <row r="23" spans="1:4" ht="16.2" thickBot="1" x14ac:dyDescent="0.35">
      <c r="A23" s="24" t="s">
        <v>35</v>
      </c>
      <c r="B23" s="25" t="s">
        <v>32</v>
      </c>
      <c r="C23" s="25">
        <v>19698</v>
      </c>
      <c r="D23" s="22"/>
    </row>
    <row r="24" spans="1:4" ht="31.8" thickBot="1" x14ac:dyDescent="0.35">
      <c r="A24" s="21" t="s">
        <v>175</v>
      </c>
      <c r="B24" s="22"/>
      <c r="C24" s="22"/>
      <c r="D24" s="22"/>
    </row>
    <row r="25" spans="1:4" ht="16.2" thickBot="1" x14ac:dyDescent="0.35">
      <c r="A25" s="23" t="s">
        <v>30</v>
      </c>
      <c r="B25" s="22"/>
      <c r="C25" s="22"/>
      <c r="D25" s="22"/>
    </row>
    <row r="26" spans="1:4" ht="16.2" thickBot="1" x14ac:dyDescent="0.35">
      <c r="A26" s="24" t="s">
        <v>31</v>
      </c>
      <c r="B26" s="25" t="s">
        <v>32</v>
      </c>
      <c r="C26" s="25">
        <v>707979.2</v>
      </c>
      <c r="D26" s="22"/>
    </row>
    <row r="27" spans="1:4" ht="16.2" thickBot="1" x14ac:dyDescent="0.35">
      <c r="A27" s="24" t="s">
        <v>33</v>
      </c>
      <c r="B27" s="25" t="s">
        <v>32</v>
      </c>
      <c r="C27" s="25">
        <v>2127092.7999999998</v>
      </c>
      <c r="D27" s="22"/>
    </row>
    <row r="28" spans="1:4" ht="16.2" thickBot="1" x14ac:dyDescent="0.35">
      <c r="A28" s="24" t="s">
        <v>34</v>
      </c>
      <c r="B28" s="25" t="s">
        <v>32</v>
      </c>
      <c r="C28" s="25">
        <v>5198728.0999999996</v>
      </c>
      <c r="D28" s="22"/>
    </row>
    <row r="29" spans="1:4" ht="16.2" thickBot="1" x14ac:dyDescent="0.35">
      <c r="A29" s="24" t="s">
        <v>35</v>
      </c>
      <c r="B29" s="25" t="s">
        <v>32</v>
      </c>
      <c r="C29" s="25">
        <v>8300724.2000000002</v>
      </c>
      <c r="D29" s="22"/>
    </row>
    <row r="30" spans="1:4" ht="16.2" thickBot="1" x14ac:dyDescent="0.35">
      <c r="A30" s="23" t="s">
        <v>129</v>
      </c>
      <c r="B30" s="22"/>
      <c r="C30" s="22"/>
      <c r="D30" s="22"/>
    </row>
    <row r="31" spans="1:4" ht="16.2" thickBot="1" x14ac:dyDescent="0.35">
      <c r="A31" s="24" t="s">
        <v>31</v>
      </c>
      <c r="B31" s="25" t="s">
        <v>32</v>
      </c>
      <c r="C31" s="25">
        <v>490378.3</v>
      </c>
      <c r="D31" s="22"/>
    </row>
    <row r="32" spans="1:4" ht="16.2" thickBot="1" x14ac:dyDescent="0.35">
      <c r="A32" s="24" t="s">
        <v>33</v>
      </c>
      <c r="B32" s="25" t="s">
        <v>32</v>
      </c>
      <c r="C32" s="25">
        <v>1765988.7</v>
      </c>
      <c r="D32" s="22"/>
    </row>
    <row r="33" spans="1:6" ht="16.2" thickBot="1" x14ac:dyDescent="0.35">
      <c r="A33" s="24" t="s">
        <v>34</v>
      </c>
      <c r="B33" s="25" t="s">
        <v>32</v>
      </c>
      <c r="C33" s="25">
        <v>4743473.9000000004</v>
      </c>
      <c r="D33" s="22"/>
    </row>
    <row r="34" spans="1:6" ht="16.2" thickBot="1" x14ac:dyDescent="0.35">
      <c r="A34" s="24" t="s">
        <v>35</v>
      </c>
      <c r="B34" s="25" t="s">
        <v>32</v>
      </c>
      <c r="C34" s="25">
        <v>7682718.7000000002</v>
      </c>
      <c r="D34" s="22"/>
    </row>
    <row r="35" spans="1:6" ht="47.4" thickBot="1" x14ac:dyDescent="0.35">
      <c r="A35" s="21" t="s">
        <v>140</v>
      </c>
      <c r="B35" s="22"/>
      <c r="C35" s="22"/>
      <c r="D35" s="22"/>
    </row>
    <row r="36" spans="1:6" ht="16.2" thickBot="1" x14ac:dyDescent="0.35">
      <c r="A36" s="23" t="s">
        <v>141</v>
      </c>
      <c r="B36" s="22"/>
      <c r="C36" s="22"/>
      <c r="D36" s="22"/>
    </row>
    <row r="37" spans="1:6" ht="16.2" thickBot="1" x14ac:dyDescent="0.35">
      <c r="A37" s="24" t="s">
        <v>31</v>
      </c>
      <c r="B37" s="25" t="s">
        <v>32</v>
      </c>
      <c r="C37" s="25">
        <v>2161126.7000000002</v>
      </c>
      <c r="D37" s="22"/>
    </row>
    <row r="38" spans="1:6" ht="16.2" thickBot="1" x14ac:dyDescent="0.35">
      <c r="A38" s="24" t="s">
        <v>33</v>
      </c>
      <c r="B38" s="25" t="s">
        <v>32</v>
      </c>
      <c r="C38" s="25">
        <v>4363778.4000000004</v>
      </c>
      <c r="D38" s="22"/>
    </row>
    <row r="39" spans="1:6" ht="16.2" thickBot="1" x14ac:dyDescent="0.35">
      <c r="A39" s="24" t="s">
        <v>34</v>
      </c>
      <c r="B39" s="25" t="s">
        <v>32</v>
      </c>
      <c r="C39" s="25">
        <v>6369857.7999999998</v>
      </c>
      <c r="D39" s="22"/>
    </row>
    <row r="40" spans="1:6" ht="16.2" thickBot="1" x14ac:dyDescent="0.35">
      <c r="A40" s="24" t="s">
        <v>35</v>
      </c>
      <c r="B40" s="25" t="s">
        <v>32</v>
      </c>
      <c r="C40" s="25">
        <v>8588620.3000000007</v>
      </c>
      <c r="D40" s="22"/>
    </row>
    <row r="41" spans="1:6" ht="16.2" thickBot="1" x14ac:dyDescent="0.35">
      <c r="A41" s="21" t="s">
        <v>142</v>
      </c>
      <c r="B41" s="22"/>
      <c r="C41" s="22"/>
      <c r="D41" s="22"/>
    </row>
    <row r="42" spans="1:6" ht="16.2" thickBot="1" x14ac:dyDescent="0.35">
      <c r="A42" s="23" t="s">
        <v>124</v>
      </c>
      <c r="B42" s="25" t="s">
        <v>41</v>
      </c>
      <c r="C42" s="25">
        <v>151</v>
      </c>
      <c r="D42" s="25">
        <v>155</v>
      </c>
    </row>
    <row r="43" spans="1:6" ht="16.2" thickBot="1" x14ac:dyDescent="0.35">
      <c r="A43" s="23" t="s">
        <v>143</v>
      </c>
      <c r="B43" s="25" t="s">
        <v>41</v>
      </c>
      <c r="C43" s="25">
        <v>148</v>
      </c>
      <c r="D43" s="22"/>
    </row>
    <row r="44" spans="1:6" ht="16.2" thickBot="1" x14ac:dyDescent="0.35">
      <c r="A44" s="23" t="s">
        <v>144</v>
      </c>
      <c r="B44" s="25" t="s">
        <v>41</v>
      </c>
      <c r="C44" s="25">
        <v>149</v>
      </c>
      <c r="D44" s="22"/>
    </row>
    <row r="45" spans="1:6" ht="16.2" thickBot="1" x14ac:dyDescent="0.35">
      <c r="A45" s="23" t="s">
        <v>145</v>
      </c>
      <c r="B45" s="25" t="s">
        <v>41</v>
      </c>
      <c r="C45" s="25">
        <v>151</v>
      </c>
      <c r="D45" s="22"/>
    </row>
    <row r="46" spans="1:6" ht="16.2" thickBot="1" x14ac:dyDescent="0.35">
      <c r="A46" s="21" t="s">
        <v>146</v>
      </c>
      <c r="B46" s="22"/>
      <c r="C46" s="22"/>
      <c r="D46" s="22"/>
      <c r="E46" s="5"/>
      <c r="F46" s="3"/>
    </row>
    <row r="47" spans="1:6" ht="16.2" thickBot="1" x14ac:dyDescent="0.35">
      <c r="A47" s="23" t="s">
        <v>124</v>
      </c>
      <c r="B47" s="25" t="s">
        <v>125</v>
      </c>
      <c r="C47" s="25">
        <v>487</v>
      </c>
      <c r="D47" s="25">
        <v>516</v>
      </c>
      <c r="E47" s="3"/>
      <c r="F47" s="3"/>
    </row>
    <row r="48" spans="1:6" ht="16.2" thickBot="1" x14ac:dyDescent="0.35">
      <c r="A48" s="23" t="s">
        <v>143</v>
      </c>
      <c r="B48" s="25" t="s">
        <v>125</v>
      </c>
      <c r="C48" s="25">
        <v>491</v>
      </c>
      <c r="D48" s="22"/>
      <c r="E48" s="5"/>
      <c r="F48" s="5"/>
    </row>
    <row r="49" spans="1:6" ht="16.2" thickBot="1" x14ac:dyDescent="0.35">
      <c r="A49" s="23" t="s">
        <v>144</v>
      </c>
      <c r="B49" s="25" t="s">
        <v>125</v>
      </c>
      <c r="C49" s="25">
        <v>507</v>
      </c>
      <c r="D49" s="22"/>
      <c r="E49" s="5"/>
      <c r="F49" s="3"/>
    </row>
    <row r="50" spans="1:6" ht="16.2" thickBot="1" x14ac:dyDescent="0.35">
      <c r="A50" s="23" t="s">
        <v>145</v>
      </c>
      <c r="B50" s="25" t="s">
        <v>125</v>
      </c>
      <c r="C50" s="25">
        <v>513</v>
      </c>
      <c r="D50" s="22"/>
      <c r="E50" s="5"/>
      <c r="F50" s="3"/>
    </row>
    <row r="51" spans="1:6" x14ac:dyDescent="0.3">
      <c r="A51" s="4"/>
      <c r="B51" s="5"/>
      <c r="C51" s="3"/>
      <c r="D51" s="5"/>
      <c r="E51" s="5"/>
      <c r="F51" s="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94AA-497A-4DCA-B601-CACA7202DF67}">
  <dimension ref="A1:F5"/>
  <sheetViews>
    <sheetView workbookViewId="0">
      <selection activeCell="F17" sqref="F17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29.4" thickBot="1" x14ac:dyDescent="0.35">
      <c r="A1" s="1" t="s">
        <v>20</v>
      </c>
    </row>
    <row r="2" spans="1:6" ht="16.2" thickBot="1" x14ac:dyDescent="0.35">
      <c r="A2" s="19" t="s">
        <v>29</v>
      </c>
      <c r="B2" s="20" t="s">
        <v>173</v>
      </c>
      <c r="C2" s="20">
        <v>2025</v>
      </c>
      <c r="D2" s="20">
        <v>2026</v>
      </c>
      <c r="E2" s="3"/>
      <c r="F2" s="3"/>
    </row>
    <row r="3" spans="1:6" ht="16.2" thickBot="1" x14ac:dyDescent="0.35">
      <c r="A3" s="21" t="s">
        <v>147</v>
      </c>
      <c r="B3" s="22"/>
      <c r="C3" s="22"/>
      <c r="D3" s="22"/>
      <c r="E3" s="3"/>
      <c r="F3" s="3"/>
    </row>
    <row r="4" spans="1:6" ht="16.2" thickBot="1" x14ac:dyDescent="0.35">
      <c r="A4" s="23" t="s">
        <v>148</v>
      </c>
      <c r="B4" s="22"/>
      <c r="C4" s="22"/>
      <c r="D4" s="22"/>
      <c r="E4" s="3"/>
      <c r="F4" s="3"/>
    </row>
    <row r="5" spans="1:6" ht="16.2" thickBot="1" x14ac:dyDescent="0.35">
      <c r="A5" s="24" t="s">
        <v>53</v>
      </c>
      <c r="B5" s="25" t="s">
        <v>149</v>
      </c>
      <c r="C5" s="25">
        <v>50</v>
      </c>
      <c r="D5" s="22"/>
      <c r="E5" s="3"/>
      <c r="F5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1B0B-3CDC-4ADD-93EC-3F435EF69DE2}">
  <dimension ref="A1:F83"/>
  <sheetViews>
    <sheetView workbookViewId="0">
      <selection activeCell="F17" sqref="F17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21</v>
      </c>
    </row>
    <row r="2" spans="1:6" ht="16.2" thickBot="1" x14ac:dyDescent="0.35">
      <c r="A2" s="19" t="s">
        <v>29</v>
      </c>
      <c r="B2" s="20" t="s">
        <v>173</v>
      </c>
      <c r="C2" s="20">
        <v>2025</v>
      </c>
      <c r="D2" s="20">
        <v>2026</v>
      </c>
    </row>
    <row r="3" spans="1:6" ht="16.2" thickBot="1" x14ac:dyDescent="0.35">
      <c r="A3" s="21" t="s">
        <v>150</v>
      </c>
      <c r="B3" s="22"/>
      <c r="C3" s="22"/>
      <c r="D3" s="22"/>
    </row>
    <row r="4" spans="1:6" ht="16.2" thickBot="1" x14ac:dyDescent="0.35">
      <c r="A4" s="23" t="s">
        <v>30</v>
      </c>
      <c r="B4" s="22"/>
      <c r="C4" s="22"/>
      <c r="D4" s="22"/>
    </row>
    <row r="5" spans="1:6" ht="16.2" thickBot="1" x14ac:dyDescent="0.35">
      <c r="A5" s="24" t="s">
        <v>53</v>
      </c>
      <c r="B5" s="25" t="s">
        <v>32</v>
      </c>
      <c r="C5" s="25">
        <v>-155762</v>
      </c>
      <c r="D5" s="22"/>
    </row>
    <row r="6" spans="1:6" ht="16.2" thickBot="1" x14ac:dyDescent="0.35">
      <c r="A6" s="21" t="s">
        <v>151</v>
      </c>
      <c r="B6" s="22"/>
      <c r="C6" s="22"/>
      <c r="D6" s="22"/>
    </row>
    <row r="7" spans="1:6" ht="16.2" thickBot="1" x14ac:dyDescent="0.35">
      <c r="A7" s="23" t="s">
        <v>30</v>
      </c>
      <c r="B7" s="22"/>
      <c r="C7" s="22"/>
      <c r="D7" s="22"/>
    </row>
    <row r="8" spans="1:6" ht="16.2" thickBot="1" x14ac:dyDescent="0.35">
      <c r="A8" s="24" t="s">
        <v>53</v>
      </c>
      <c r="B8" s="25" t="s">
        <v>32</v>
      </c>
      <c r="C8" s="25">
        <v>-230238</v>
      </c>
      <c r="D8" s="22"/>
    </row>
    <row r="9" spans="1:6" ht="16.2" thickBot="1" x14ac:dyDescent="0.35">
      <c r="A9" s="21" t="s">
        <v>152</v>
      </c>
      <c r="B9" s="22"/>
      <c r="C9" s="22"/>
      <c r="D9" s="22"/>
    </row>
    <row r="10" spans="1:6" ht="16.2" thickBot="1" x14ac:dyDescent="0.35">
      <c r="A10" s="23" t="s">
        <v>30</v>
      </c>
      <c r="B10" s="22"/>
      <c r="C10" s="22"/>
      <c r="D10" s="22"/>
    </row>
    <row r="11" spans="1:6" ht="16.2" thickBot="1" x14ac:dyDescent="0.35">
      <c r="A11" s="24" t="s">
        <v>53</v>
      </c>
      <c r="B11" s="25" t="s">
        <v>32</v>
      </c>
      <c r="C11" s="25">
        <v>415651</v>
      </c>
      <c r="D11" s="22"/>
    </row>
    <row r="12" spans="1:6" ht="31.8" thickBot="1" x14ac:dyDescent="0.35">
      <c r="A12" s="21" t="s">
        <v>153</v>
      </c>
      <c r="B12" s="22"/>
      <c r="C12" s="22"/>
      <c r="D12" s="22"/>
    </row>
    <row r="13" spans="1:6" ht="16.2" thickBot="1" x14ac:dyDescent="0.35">
      <c r="A13" s="23" t="s">
        <v>30</v>
      </c>
      <c r="B13" s="22"/>
      <c r="C13" s="22"/>
      <c r="D13" s="22"/>
    </row>
    <row r="14" spans="1:6" ht="16.2" thickBot="1" x14ac:dyDescent="0.35">
      <c r="A14" s="24" t="s">
        <v>53</v>
      </c>
      <c r="B14" s="25" t="s">
        <v>32</v>
      </c>
      <c r="C14" s="25">
        <v>342740</v>
      </c>
      <c r="D14" s="22"/>
    </row>
    <row r="15" spans="1:6" ht="16.2" thickBot="1" x14ac:dyDescent="0.35">
      <c r="A15" s="21" t="s">
        <v>154</v>
      </c>
      <c r="B15" s="22"/>
      <c r="C15" s="22"/>
      <c r="D15" s="22"/>
      <c r="E15" s="3"/>
      <c r="F15" s="3"/>
    </row>
    <row r="16" spans="1:6" ht="16.2" thickBot="1" x14ac:dyDescent="0.35">
      <c r="A16" s="23" t="s">
        <v>30</v>
      </c>
      <c r="B16" s="22"/>
      <c r="C16" s="22"/>
      <c r="D16" s="22"/>
      <c r="E16" s="3"/>
      <c r="F16" s="3"/>
    </row>
    <row r="17" spans="1:6" ht="16.2" thickBot="1" x14ac:dyDescent="0.35">
      <c r="A17" s="24" t="s">
        <v>53</v>
      </c>
      <c r="B17" s="25" t="s">
        <v>32</v>
      </c>
      <c r="C17" s="25">
        <v>1234583</v>
      </c>
      <c r="D17" s="22"/>
      <c r="E17" s="3"/>
      <c r="F17" s="3"/>
    </row>
    <row r="18" spans="1:6" ht="16.2" thickBot="1" x14ac:dyDescent="0.35">
      <c r="A18" s="21" t="s">
        <v>155</v>
      </c>
      <c r="B18" s="22"/>
      <c r="C18" s="22"/>
      <c r="D18" s="22"/>
      <c r="E18" s="3"/>
      <c r="F18" s="3"/>
    </row>
    <row r="19" spans="1:6" ht="16.2" thickBot="1" x14ac:dyDescent="0.35">
      <c r="A19" s="23" t="s">
        <v>30</v>
      </c>
      <c r="B19" s="22"/>
      <c r="C19" s="22"/>
      <c r="D19" s="22"/>
      <c r="E19" s="3"/>
      <c r="F19" s="3"/>
    </row>
    <row r="20" spans="1:6" ht="16.2" thickBot="1" x14ac:dyDescent="0.35">
      <c r="A20" s="24" t="s">
        <v>53</v>
      </c>
      <c r="B20" s="25" t="s">
        <v>32</v>
      </c>
      <c r="C20" s="25">
        <v>32223</v>
      </c>
      <c r="D20" s="22"/>
      <c r="E20" s="3"/>
      <c r="F20" s="3"/>
    </row>
    <row r="21" spans="1:6" ht="47.4" thickBot="1" x14ac:dyDescent="0.35">
      <c r="A21" s="21" t="s">
        <v>156</v>
      </c>
      <c r="B21" s="22"/>
      <c r="C21" s="22"/>
      <c r="D21" s="22"/>
      <c r="E21" s="3"/>
      <c r="F21" s="3"/>
    </row>
    <row r="22" spans="1:6" ht="16.2" thickBot="1" x14ac:dyDescent="0.35">
      <c r="A22" s="23" t="s">
        <v>30</v>
      </c>
      <c r="B22" s="22"/>
      <c r="C22" s="22"/>
      <c r="D22" s="22"/>
      <c r="E22" s="3"/>
      <c r="F22" s="3"/>
    </row>
    <row r="23" spans="1:6" ht="16.2" thickBot="1" x14ac:dyDescent="0.35">
      <c r="A23" s="24" t="s">
        <v>53</v>
      </c>
      <c r="B23" s="25" t="s">
        <v>32</v>
      </c>
      <c r="C23" s="25">
        <v>12861</v>
      </c>
      <c r="D23" s="22"/>
    </row>
    <row r="24" spans="1:6" ht="31.8" thickBot="1" x14ac:dyDescent="0.35">
      <c r="A24" s="21" t="s">
        <v>157</v>
      </c>
      <c r="B24" s="22"/>
      <c r="C24" s="22"/>
      <c r="D24" s="22"/>
    </row>
    <row r="25" spans="1:6" ht="16.2" thickBot="1" x14ac:dyDescent="0.35">
      <c r="A25" s="23" t="s">
        <v>30</v>
      </c>
      <c r="B25" s="22"/>
      <c r="C25" s="22"/>
      <c r="D25" s="22"/>
    </row>
    <row r="26" spans="1:6" ht="16.2" thickBot="1" x14ac:dyDescent="0.35">
      <c r="A26" s="24" t="s">
        <v>53</v>
      </c>
      <c r="B26" s="25" t="s">
        <v>32</v>
      </c>
      <c r="C26" s="25">
        <v>1022479</v>
      </c>
      <c r="D26" s="22"/>
    </row>
    <row r="27" spans="1:6" ht="16.2" thickBot="1" x14ac:dyDescent="0.35">
      <c r="A27" s="21" t="s">
        <v>158</v>
      </c>
      <c r="B27" s="22"/>
      <c r="C27" s="22"/>
      <c r="D27" s="22"/>
    </row>
    <row r="28" spans="1:6" ht="16.2" thickBot="1" x14ac:dyDescent="0.35">
      <c r="A28" s="23" t="s">
        <v>30</v>
      </c>
      <c r="B28" s="22"/>
      <c r="C28" s="22"/>
      <c r="D28" s="22"/>
    </row>
    <row r="29" spans="1:6" ht="16.2" thickBot="1" x14ac:dyDescent="0.35">
      <c r="A29" s="24" t="s">
        <v>53</v>
      </c>
      <c r="B29" s="25" t="s">
        <v>41</v>
      </c>
      <c r="C29" s="25">
        <v>5</v>
      </c>
      <c r="D29" s="22"/>
    </row>
    <row r="30" spans="1:6" ht="16.2" thickBot="1" x14ac:dyDescent="0.35">
      <c r="A30" s="21" t="s">
        <v>159</v>
      </c>
      <c r="B30" s="22"/>
      <c r="C30" s="22"/>
      <c r="D30" s="22"/>
    </row>
    <row r="31" spans="1:6" ht="16.2" thickBot="1" x14ac:dyDescent="0.35">
      <c r="A31" s="23" t="s">
        <v>30</v>
      </c>
      <c r="B31" s="22"/>
      <c r="C31" s="22"/>
      <c r="D31" s="22"/>
    </row>
    <row r="32" spans="1:6" ht="16.2" thickBot="1" x14ac:dyDescent="0.35">
      <c r="A32" s="24" t="s">
        <v>53</v>
      </c>
      <c r="B32" s="25" t="s">
        <v>41</v>
      </c>
      <c r="C32" s="25">
        <v>4</v>
      </c>
      <c r="D32" s="22"/>
    </row>
    <row r="33" spans="1:4" ht="16.2" thickBot="1" x14ac:dyDescent="0.35">
      <c r="A33" s="21" t="s">
        <v>160</v>
      </c>
      <c r="B33" s="22"/>
      <c r="C33" s="22"/>
      <c r="D33" s="22"/>
    </row>
    <row r="34" spans="1:4" ht="16.2" thickBot="1" x14ac:dyDescent="0.35">
      <c r="A34" s="23" t="s">
        <v>30</v>
      </c>
      <c r="B34" s="22"/>
      <c r="C34" s="22"/>
      <c r="D34" s="22"/>
    </row>
    <row r="35" spans="1:4" ht="16.2" thickBot="1" x14ac:dyDescent="0.35">
      <c r="A35" s="24" t="s">
        <v>53</v>
      </c>
      <c r="B35" s="25" t="s">
        <v>32</v>
      </c>
      <c r="C35" s="25">
        <v>66246</v>
      </c>
      <c r="D35" s="22"/>
    </row>
    <row r="36" spans="1:4" ht="16.2" thickBot="1" x14ac:dyDescent="0.35">
      <c r="A36" s="21" t="s">
        <v>161</v>
      </c>
      <c r="B36" s="22"/>
      <c r="C36" s="22"/>
      <c r="D36" s="22"/>
    </row>
    <row r="37" spans="1:4" ht="16.2" thickBot="1" x14ac:dyDescent="0.35">
      <c r="A37" s="23" t="s">
        <v>30</v>
      </c>
      <c r="B37" s="22"/>
      <c r="C37" s="22"/>
      <c r="D37" s="22"/>
    </row>
    <row r="38" spans="1:4" ht="16.2" thickBot="1" x14ac:dyDescent="0.35">
      <c r="A38" s="24" t="s">
        <v>53</v>
      </c>
      <c r="B38" s="25" t="s">
        <v>149</v>
      </c>
      <c r="C38" s="25">
        <v>20</v>
      </c>
      <c r="D38" s="22"/>
    </row>
    <row r="39" spans="1:4" ht="16.2" thickBot="1" x14ac:dyDescent="0.35">
      <c r="A39" s="23" t="s">
        <v>127</v>
      </c>
      <c r="B39" s="22"/>
      <c r="C39" s="22"/>
      <c r="D39" s="22"/>
    </row>
    <row r="40" spans="1:4" ht="16.2" thickBot="1" x14ac:dyDescent="0.35">
      <c r="A40" s="24" t="s">
        <v>53</v>
      </c>
      <c r="B40" s="25" t="s">
        <v>149</v>
      </c>
      <c r="C40" s="25">
        <v>50</v>
      </c>
      <c r="D40" s="22"/>
    </row>
    <row r="41" spans="1:4" ht="16.2" thickBot="1" x14ac:dyDescent="0.35">
      <c r="A41" s="23" t="s">
        <v>148</v>
      </c>
      <c r="B41" s="22"/>
      <c r="C41" s="22"/>
      <c r="D41" s="22"/>
    </row>
    <row r="42" spans="1:4" ht="16.2" thickBot="1" x14ac:dyDescent="0.35">
      <c r="A42" s="24" t="s">
        <v>53</v>
      </c>
      <c r="B42" s="25" t="s">
        <v>149</v>
      </c>
      <c r="C42" s="25">
        <v>50</v>
      </c>
      <c r="D42" s="22"/>
    </row>
    <row r="43" spans="1:4" ht="16.2" thickBot="1" x14ac:dyDescent="0.35">
      <c r="A43" s="23" t="s">
        <v>162</v>
      </c>
      <c r="B43" s="22"/>
      <c r="C43" s="22"/>
      <c r="D43" s="22"/>
    </row>
    <row r="44" spans="1:4" ht="16.2" thickBot="1" x14ac:dyDescent="0.35">
      <c r="A44" s="24" t="s">
        <v>53</v>
      </c>
      <c r="B44" s="25" t="s">
        <v>149</v>
      </c>
      <c r="C44" s="25">
        <v>50</v>
      </c>
      <c r="D44" s="22"/>
    </row>
    <row r="45" spans="1:4" ht="16.2" thickBot="1" x14ac:dyDescent="0.35">
      <c r="A45" s="21" t="s">
        <v>163</v>
      </c>
      <c r="B45" s="22"/>
      <c r="C45" s="22"/>
      <c r="D45" s="22"/>
    </row>
    <row r="46" spans="1:4" ht="16.2" thickBot="1" x14ac:dyDescent="0.35">
      <c r="A46" s="23" t="s">
        <v>30</v>
      </c>
      <c r="B46" s="22"/>
      <c r="C46" s="22"/>
      <c r="D46" s="22"/>
    </row>
    <row r="47" spans="1:4" ht="16.2" thickBot="1" x14ac:dyDescent="0.35">
      <c r="A47" s="24" t="s">
        <v>53</v>
      </c>
      <c r="B47" s="25" t="s">
        <v>149</v>
      </c>
      <c r="C47" s="25">
        <v>80</v>
      </c>
      <c r="D47" s="22"/>
    </row>
    <row r="48" spans="1:4" ht="16.2" thickBot="1" x14ac:dyDescent="0.35">
      <c r="A48" s="23" t="s">
        <v>127</v>
      </c>
      <c r="B48" s="22"/>
      <c r="C48" s="22"/>
      <c r="D48" s="22"/>
    </row>
    <row r="49" spans="1:4" ht="16.2" thickBot="1" x14ac:dyDescent="0.35">
      <c r="A49" s="24" t="s">
        <v>53</v>
      </c>
      <c r="B49" s="25" t="s">
        <v>149</v>
      </c>
      <c r="C49" s="25">
        <v>50</v>
      </c>
      <c r="D49" s="22"/>
    </row>
    <row r="50" spans="1:4" ht="16.2" thickBot="1" x14ac:dyDescent="0.35">
      <c r="A50" s="23" t="s">
        <v>148</v>
      </c>
      <c r="B50" s="22"/>
      <c r="C50" s="22"/>
      <c r="D50" s="22"/>
    </row>
    <row r="51" spans="1:4" ht="16.2" thickBot="1" x14ac:dyDescent="0.35">
      <c r="A51" s="24" t="s">
        <v>53</v>
      </c>
      <c r="B51" s="25" t="s">
        <v>149</v>
      </c>
      <c r="C51" s="25">
        <v>50</v>
      </c>
      <c r="D51" s="22"/>
    </row>
    <row r="52" spans="1:4" ht="16.2" thickBot="1" x14ac:dyDescent="0.35">
      <c r="A52" s="23" t="s">
        <v>162</v>
      </c>
      <c r="B52" s="22"/>
      <c r="C52" s="22"/>
      <c r="D52" s="22"/>
    </row>
    <row r="53" spans="1:4" ht="16.2" thickBot="1" x14ac:dyDescent="0.35">
      <c r="A53" s="24" t="s">
        <v>53</v>
      </c>
      <c r="B53" s="25" t="s">
        <v>149</v>
      </c>
      <c r="C53" s="25">
        <v>50</v>
      </c>
      <c r="D53" s="22"/>
    </row>
    <row r="54" spans="1:4" ht="16.2" thickBot="1" x14ac:dyDescent="0.35">
      <c r="A54" s="23" t="s">
        <v>129</v>
      </c>
      <c r="B54" s="22"/>
      <c r="C54" s="22"/>
      <c r="D54" s="22"/>
    </row>
    <row r="55" spans="1:4" ht="16.2" thickBot="1" x14ac:dyDescent="0.35">
      <c r="A55" s="24" t="s">
        <v>53</v>
      </c>
      <c r="B55" s="25" t="s">
        <v>149</v>
      </c>
      <c r="C55" s="25">
        <v>100</v>
      </c>
      <c r="D55" s="22"/>
    </row>
    <row r="56" spans="1:4" ht="16.2" thickBot="1" x14ac:dyDescent="0.35">
      <c r="A56" s="23" t="s">
        <v>130</v>
      </c>
      <c r="B56" s="22"/>
      <c r="C56" s="22"/>
      <c r="D56" s="22"/>
    </row>
    <row r="57" spans="1:4" ht="16.2" thickBot="1" x14ac:dyDescent="0.35">
      <c r="A57" s="24" t="s">
        <v>53</v>
      </c>
      <c r="B57" s="25" t="s">
        <v>149</v>
      </c>
      <c r="C57" s="25">
        <v>100</v>
      </c>
      <c r="D57" s="22"/>
    </row>
    <row r="58" spans="1:4" ht="16.2" thickBot="1" x14ac:dyDescent="0.35">
      <c r="A58" s="23" t="s">
        <v>164</v>
      </c>
      <c r="B58" s="22"/>
      <c r="C58" s="22"/>
      <c r="D58" s="22"/>
    </row>
    <row r="59" spans="1:4" ht="16.2" thickBot="1" x14ac:dyDescent="0.35">
      <c r="A59" s="24" t="s">
        <v>53</v>
      </c>
      <c r="B59" s="25" t="s">
        <v>149</v>
      </c>
      <c r="C59" s="25">
        <v>100</v>
      </c>
      <c r="D59" s="22"/>
    </row>
    <row r="60" spans="1:4" ht="16.2" thickBot="1" x14ac:dyDescent="0.35">
      <c r="A60" s="21" t="s">
        <v>165</v>
      </c>
      <c r="B60" s="22"/>
      <c r="C60" s="22"/>
      <c r="D60" s="22"/>
    </row>
    <row r="61" spans="1:4" ht="16.2" thickBot="1" x14ac:dyDescent="0.35">
      <c r="A61" s="23" t="s">
        <v>30</v>
      </c>
      <c r="B61" s="22"/>
      <c r="C61" s="22"/>
      <c r="D61" s="22"/>
    </row>
    <row r="62" spans="1:4" ht="16.2" thickBot="1" x14ac:dyDescent="0.35">
      <c r="A62" s="24" t="s">
        <v>53</v>
      </c>
      <c r="B62" s="25" t="s">
        <v>32</v>
      </c>
      <c r="C62" s="25">
        <v>3663606</v>
      </c>
      <c r="D62" s="22"/>
    </row>
    <row r="63" spans="1:4" ht="16.2" thickBot="1" x14ac:dyDescent="0.35">
      <c r="A63" s="21" t="s">
        <v>166</v>
      </c>
      <c r="B63" s="22"/>
      <c r="C63" s="22"/>
      <c r="D63" s="22"/>
    </row>
    <row r="64" spans="1:4" ht="16.2" thickBot="1" x14ac:dyDescent="0.35">
      <c r="A64" s="23" t="s">
        <v>30</v>
      </c>
      <c r="B64" s="22"/>
      <c r="C64" s="22"/>
      <c r="D64" s="22"/>
    </row>
    <row r="65" spans="1:4" ht="16.2" thickBot="1" x14ac:dyDescent="0.35">
      <c r="A65" s="24" t="s">
        <v>53</v>
      </c>
      <c r="B65" s="25" t="s">
        <v>32</v>
      </c>
      <c r="C65" s="25">
        <v>463449</v>
      </c>
      <c r="D65" s="22"/>
    </row>
    <row r="66" spans="1:4" ht="16.2" thickBot="1" x14ac:dyDescent="0.35">
      <c r="A66" s="21" t="s">
        <v>167</v>
      </c>
      <c r="B66" s="22"/>
      <c r="C66" s="22"/>
      <c r="D66" s="22"/>
    </row>
    <row r="67" spans="1:4" ht="16.2" thickBot="1" x14ac:dyDescent="0.35">
      <c r="A67" s="23" t="s">
        <v>30</v>
      </c>
      <c r="B67" s="22"/>
      <c r="C67" s="22"/>
      <c r="D67" s="22"/>
    </row>
    <row r="68" spans="1:4" ht="16.2" thickBot="1" x14ac:dyDescent="0.35">
      <c r="A68" s="24" t="s">
        <v>53</v>
      </c>
      <c r="B68" s="25" t="s">
        <v>32</v>
      </c>
      <c r="C68" s="25">
        <v>96066</v>
      </c>
      <c r="D68" s="22"/>
    </row>
    <row r="69" spans="1:4" ht="31.8" thickBot="1" x14ac:dyDescent="0.35">
      <c r="A69" s="21" t="s">
        <v>168</v>
      </c>
      <c r="B69" s="22"/>
      <c r="C69" s="22"/>
      <c r="D69" s="22"/>
    </row>
    <row r="70" spans="1:4" ht="16.2" thickBot="1" x14ac:dyDescent="0.35">
      <c r="A70" s="23" t="s">
        <v>30</v>
      </c>
      <c r="B70" s="22"/>
      <c r="C70" s="22"/>
      <c r="D70" s="22"/>
    </row>
    <row r="71" spans="1:4" ht="16.2" thickBot="1" x14ac:dyDescent="0.35">
      <c r="A71" s="24" t="s">
        <v>53</v>
      </c>
      <c r="B71" s="25" t="s">
        <v>32</v>
      </c>
      <c r="C71" s="25">
        <v>4223121</v>
      </c>
      <c r="D71" s="22"/>
    </row>
    <row r="72" spans="1:4" ht="16.2" thickBot="1" x14ac:dyDescent="0.35">
      <c r="A72" s="21" t="s">
        <v>169</v>
      </c>
      <c r="B72" s="22"/>
      <c r="C72" s="22"/>
      <c r="D72" s="22"/>
    </row>
    <row r="73" spans="1:4" ht="16.2" thickBot="1" x14ac:dyDescent="0.35">
      <c r="A73" s="23" t="s">
        <v>30</v>
      </c>
      <c r="B73" s="22"/>
      <c r="C73" s="22"/>
      <c r="D73" s="22"/>
    </row>
    <row r="74" spans="1:4" ht="16.2" thickBot="1" x14ac:dyDescent="0.35">
      <c r="A74" s="24" t="s">
        <v>53</v>
      </c>
      <c r="B74" s="25" t="s">
        <v>32</v>
      </c>
      <c r="C74" s="25">
        <v>4698300</v>
      </c>
      <c r="D74" s="22"/>
    </row>
    <row r="75" spans="1:4" ht="16.2" thickBot="1" x14ac:dyDescent="0.35">
      <c r="A75" s="21" t="s">
        <v>170</v>
      </c>
      <c r="B75" s="22"/>
      <c r="C75" s="22"/>
      <c r="D75" s="22"/>
    </row>
    <row r="76" spans="1:4" ht="16.2" thickBot="1" x14ac:dyDescent="0.35">
      <c r="A76" s="23" t="s">
        <v>30</v>
      </c>
      <c r="B76" s="22"/>
      <c r="C76" s="22"/>
      <c r="D76" s="22"/>
    </row>
    <row r="77" spans="1:4" ht="16.2" thickBot="1" x14ac:dyDescent="0.35">
      <c r="A77" s="24" t="s">
        <v>53</v>
      </c>
      <c r="B77" s="25" t="s">
        <v>32</v>
      </c>
      <c r="C77" s="25">
        <v>3367278</v>
      </c>
      <c r="D77" s="22"/>
    </row>
    <row r="78" spans="1:4" ht="16.2" thickBot="1" x14ac:dyDescent="0.35">
      <c r="A78" s="21" t="s">
        <v>171</v>
      </c>
      <c r="B78" s="22"/>
      <c r="C78" s="22"/>
      <c r="D78" s="22"/>
    </row>
    <row r="79" spans="1:4" ht="16.2" thickBot="1" x14ac:dyDescent="0.35">
      <c r="A79" s="23" t="s">
        <v>30</v>
      </c>
      <c r="B79" s="22"/>
      <c r="C79" s="22"/>
      <c r="D79" s="22"/>
    </row>
    <row r="80" spans="1:4" ht="16.2" thickBot="1" x14ac:dyDescent="0.35">
      <c r="A80" s="24" t="s">
        <v>53</v>
      </c>
      <c r="B80" s="25" t="s">
        <v>32</v>
      </c>
      <c r="C80" s="25">
        <v>2856404</v>
      </c>
      <c r="D80" s="22"/>
    </row>
    <row r="81" spans="1:4" ht="16.2" thickBot="1" x14ac:dyDescent="0.35">
      <c r="A81" s="21" t="s">
        <v>172</v>
      </c>
      <c r="B81" s="22"/>
      <c r="C81" s="22"/>
      <c r="D81" s="22"/>
    </row>
    <row r="82" spans="1:4" ht="16.2" thickBot="1" x14ac:dyDescent="0.35">
      <c r="A82" s="23" t="s">
        <v>30</v>
      </c>
      <c r="B82" s="22"/>
      <c r="C82" s="22"/>
      <c r="D82" s="22"/>
    </row>
    <row r="83" spans="1:4" ht="16.2" thickBot="1" x14ac:dyDescent="0.35">
      <c r="A83" s="24" t="s">
        <v>53</v>
      </c>
      <c r="B83" s="25" t="s">
        <v>32</v>
      </c>
      <c r="C83" s="25">
        <v>91237</v>
      </c>
      <c r="D83" s="2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CB26-62FA-465B-91C7-38609428F055}">
  <dimension ref="A1"/>
  <sheetViews>
    <sheetView workbookViewId="0">
      <selection activeCell="F17" sqref="F17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1" x14ac:dyDescent="0.3">
      <c r="A1" s="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Оглавление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Valeriy Gamukin</dc:creator>
  <cp:lastModifiedBy>Valeriy Gamukin</cp:lastModifiedBy>
  <dcterms:created xsi:type="dcterms:W3CDTF">2026-03-20T04:53:41Z</dcterms:created>
  <dcterms:modified xsi:type="dcterms:W3CDTF">2026-05-26T07:19:28Z</dcterms:modified>
</cp:coreProperties>
</file>